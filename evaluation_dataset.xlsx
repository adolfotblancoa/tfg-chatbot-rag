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53dc2af22af904a7/Desktop/tfg-chatbot-rag/"/>
    </mc:Choice>
  </mc:AlternateContent>
  <xr:revisionPtr revIDLastSave="55" documentId="13_ncr:1_{AD4C37FF-241A-46DC-92F6-D9C3432D2D23}" xr6:coauthVersionLast="47" xr6:coauthVersionMax="47" xr10:uidLastSave="{5E4A8F25-87CA-4CC3-B9A8-BB44CD0FC841}"/>
  <bookViews>
    <workbookView xWindow="-28920" yWindow="-8100" windowWidth="29040" windowHeight="16440" activeTab="2" xr2:uid="{0C072C37-52D8-436B-80C9-8C20F4A85365}"/>
  </bookViews>
  <sheets>
    <sheet name="Evaluación inicial (sin memoria" sheetId="1" r:id="rId1"/>
    <sheet name="Evaluación con memoria conversa" sheetId="2" r:id="rId2"/>
    <sheet name="Evaluación final"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60" i="3" l="1"/>
  <c r="B59" i="3"/>
  <c r="B58" i="3"/>
  <c r="C57" i="3"/>
  <c r="C56" i="3"/>
  <c r="C55" i="3"/>
  <c r="B57" i="3"/>
  <c r="B56" i="3"/>
  <c r="B54" i="3"/>
  <c r="B55" i="3"/>
</calcChain>
</file>

<file path=xl/sharedStrings.xml><?xml version="1.0" encoding="utf-8"?>
<sst xmlns="http://schemas.openxmlformats.org/spreadsheetml/2006/main" count="708" uniqueCount="407">
  <si>
    <t>id</t>
  </si>
  <si>
    <t>tipo_pregunta</t>
  </si>
  <si>
    <t>pregunta</t>
  </si>
  <si>
    <t>respuesta_esperada</t>
  </si>
  <si>
    <t>respuesta_modelo</t>
  </si>
  <si>
    <t>correcta (si/no)</t>
  </si>
  <si>
    <t>comentarios</t>
  </si>
  <si>
    <t>¿Qué prácticas ofrece Farmacia?</t>
  </si>
  <si>
    <t>¿Qué idiomas tiene Medicina?</t>
  </si>
  <si>
    <t>¿Dónde está el campus?</t>
  </si>
  <si>
    <t>concretas</t>
  </si>
  <si>
    <t>listado</t>
  </si>
  <si>
    <t>¿Qué grados de ingeniería hay?</t>
  </si>
  <si>
    <t>¿Qué dobles grados hay?</t>
  </si>
  <si>
    <t>¿Qué carreras ofrece Medicina?</t>
  </si>
  <si>
    <t>ambiguas</t>
  </si>
  <si>
    <t>¿Qué grados hay?</t>
  </si>
  <si>
    <t>¿Qué opciones hay?</t>
  </si>
  <si>
    <t>¿Qué ofrece la universidad?</t>
  </si>
  <si>
    <t>fuera de contexto</t>
  </si>
  <si>
    <t>¿Cuánto cuesta la matrícula?</t>
  </si>
  <si>
    <t>¿Cuál es la nota de corte?</t>
  </si>
  <si>
    <t>¿Hay residencias universitarias?</t>
  </si>
  <si>
    <t>Incluye más de 1.700 horas de prácticas en laboratorios, oficinas de farmacia y hospitales; además de Prácticas Tuteladas (24 créditos) y prácticas externas opcionales.</t>
  </si>
  <si>
    <t>sí</t>
  </si>
  <si>
    <t>Español y bilingüe (parte en inglés).</t>
  </si>
  <si>
    <t>correcta</t>
  </si>
  <si>
    <t>Campus Moncloa (Madrid) y Campus Montepríncipe (Boadilla del Monte).</t>
  </si>
  <si>
    <t>Lista de grados de ingeniería (Sistemas de Información, Biomédica, Telecomunicaciones, Matemática, etc.).</t>
  </si>
  <si>
    <t>Debe pedir aclaración o dar lista parcial.</t>
  </si>
  <si>
    <t>Lista de carreras de la facultad (Medicina, Enfermería, etc.).</t>
  </si>
  <si>
    <t>Debe pedir aclaración.</t>
  </si>
  <si>
    <t>Respuesta general o pedir concreción.</t>
  </si>
  <si>
    <t>Debe decir que no tiene esa información.</t>
  </si>
  <si>
    <t>Debe decir que no tiene información si no aparece en documentos.</t>
  </si>
  <si>
    <t>El Grado en Farmacia de la Universidad CEU San Pablo ofrece más de 1.700 horas de prácticas que se realizan en laboratorios de la facultad, oficinas de farmacia y hospitales. Además, el plan de estudios incluye 24 ECTS específicamente destinados a Prácticas Tuteladas, lo que garantiza una formación práctica sólida y variada en distintos ámbitos profesionales del farmacéutico. También existen asignaturas optativas relacionadas con prácticas académicas externas para complementar la experiencia.</t>
  </si>
  <si>
    <t>El grado de Medicina en la Universidad CEU San Pablo se ofrece en dos modalidades de idioma: completamente en español o en modalidad bilingüe, donde algunos créditos se imparten en español y otros en inglés.</t>
  </si>
  <si>
    <t>La Universidad CEU San Pablo cuenta con dos campus: el Campus Moncloa, situado en la calle Julián Romea 18, Madrid 28003, y el Campus Montepríncipe, ubicado en la Avenida de Montepríncipe, s/n, 28668 Boadilla del Monte.</t>
  </si>
  <si>
    <t>Los grados de ingeniería que hay son: 1. Ingeniería de Sistemas de Información 2. Ingeniería Biomédica 3. Ingeniería de Sistemas de Telecomunicación 4. Ingeniería Matemática 5. Ciencia e Ingeniería de Datos 6. Ingeniería en Tecnologías para Animación y Videojuegos Puedo concretarte más si me indicas el grado, la facultad o el área que te interesa.</t>
  </si>
  <si>
    <t>Los dobles grados disponibles son: 1. Derecho + Administración y Dirección de Empresas (ADE) 2. Derecho + Publicidad y Relaciones Públicas 3. Economía (Mención en Negocios Internacionales) + Relaciones Internacionales y Unión Europea 4. Farmacia + Administración y Dirección de Empresas (ADE) Puedo concretarte más si me indicas el grado, la facultad o el área que te interesa.</t>
  </si>
  <si>
    <t>La Facultad de Medicina ofrece los siguientes grados y dobles grados: 1. Grado en Medicina (Español Bilingüe) 2. Grado en Enfermería (Español) 3. Grado en Fisioterapia (Español e Inglés) 4. Grado en Odontología (Español e Inglés) 5. Grado en Psicología (Español) 6. Grado en Genética (Español) 7. Grado en Bioinformática y Datos Masivos (Big Data) (Español) 8. Doble Grado en Genética + Bioinformática y Datos Masivos (Big Data) (Español) Puedo concretarte más si me indicas el grado, la facultad o el área que te interesa.</t>
  </si>
  <si>
    <t>Los grados disponibles son: 1. Biología 2. Derecho 3. Farmacia 4. Administración y Dirección de Empresas (ADE) 5. Ingeniería Informática 6. Humanidades 7. Historia 8. Física 9. Biotecnología 10. Comunicación (Periodismo, Publicidad y RR.PP., Comunicación Audiovisual, Comunicación Digital) Puedo concretarte más si me indicas el grado, la facultad o el área que te interesa.</t>
  </si>
  <si>
    <t>Las opciones de grados y dobles grados en la Universidad CEU San Pablo son: 1. Derecho 2. Ciencias Criminológicas y de la Seguridad 3. Relaciones Internacionales y Unión Europea 4. Administración y Dirección de Empresas (ADE) 5. Economía (con mención en Finanzas o Negocios Internacionales) 6. Marketing 7. Inteligencia de Negocios 8. Mercados Financieros y Análisis de Datos (nuevo) 9. Periodismo 10. Publicidad y Relaciones Públicas 11. Comunicación Digital 12. Comunicación Audiovisual 13. Humanidades 14. Historia 15. Historia del Arte 16. Educación Infantil 17. Educación Primaria 18. Ingeniería Biomédica 19. Ingeniería de Sistemas de Información 20. Ingeniería de Sistemas de Telecomunicación 21. Arte Digital 22. Ingeniería en Tecnologías para Animación y Videojuegos 23. Ingeniería Matemática 24. Ciencia e Ingeniería de Datos 25. Física 26. Diseño de Interiores 27. Diseño y Gestión de la Industria de la Moda e Industrias Creativas (nuevo) 28. Diseño y Gestión Estratégica de Producto (nuevo) 29. Fundamentos de la Arquitectura Dobles grados destacados: - Derecho + Ciencias Criminológicas y de la Seguridad - Derecho + Relaciones Internacionales y Unión Europea - Derecho + Administración y Dirección de Empresas - Derecho + Periodismo - Derecho + Publicidad y Relaciones Públicas - Periodismo + Relaciones Internacionales y Unión Europea - Economía + Relaciones Internacionales y Unión Europea - ADE + Marketing - Economía + ADE - Inteligencia de Negocios + ADE - Inteligencia de Negocios + Economía - Derecho + ADE - Marketing + Comunicación Digital - Publicidad y Relaciones Públicas + Marketing - Farmacia + ADE - Ingeniería de Sistemas de Información + ADE - Ingeniería Biomédica + Ingeniería de Sistemas de Telecomunicación - Arte Digital + Ingeniería en Tecnologías para Animación y Videojuegos - Ingeniería Matemática + Ciencia e Ingeniería de Datos - Ciencia e Ingeniería de Datos + Ingeniería de Sistemas de Información - Ingeniería Matemática + Física - Comunicación Digital + Publicidad y Relaciones Públicas - Comunicación Audiovisual + Periodismo - Comunicación Audiovisual + Publicidad y Relaciones Públicas - Comunicación Digital + Periodismo - Comunicación Digital + Comunicación Audiovisual - Comunicación Digital + Publicidad y Relaciones Públicas - Humanidades + Periodismo - Humanidades + Publicidad y Relaciones Públicas - Humanidades + Comunicación Audiovisual - Humanidades + Comunicación Digital - Historia + Historia del Arte - Historia + Periodismo - Educación Infantil + Educación Primaria - Educación Primaria + Humanidades El Grado en Ingeniería Matemática ofrece itinerarios optativos en Bioinformática y Sistemas de Información Empresarial. Puedo concretarte más si me indicas el grado, la facultad o el área que te interesa.</t>
  </si>
  <si>
    <t>La Universidad CEU San Pablo ofrece numerosas oportunidades a través del Vicerrectorado de Estudiantes y Vida Universitaria para que los alumnos puedan practicar sus aficiones, desarrollar nuevos intereses y crear relaciones que complementen su formación. Entre las actividades disponibles se incluyen deportes variados como fútbol, tenis y running, con competiciones internas e interuniversitarias para quienes buscan un reto competitivo. También se promueve la participación en voluntariado social, proyectos de cooperación al desarrollo y campañas de donación, reflejando un compromiso con la justicia social. Además, hay numerosos clubs para conectar con la comunidad universitaria en áreas como eSports, Bolsa, Gastronomía, Debate, Moda, Protocolo y otros. Durante el curso, los estudiantes pueden disfrutar de un completo programa de actividades gratuitas, que van desde Ninja Warriors, pintura y bailes urbanos hasta actividades al aire libre y en la naturaleza.</t>
  </si>
  <si>
    <t>No dispongo de información sobre el costo de la matrícula en los fragmentos proporcionados. Si necesitas detalles sobre precios o tasas, te recomiendo consultar directamente con la Universidad CEU San Pablo o su página oficial.</t>
  </si>
  <si>
    <t>No dispongo de información sobre la nota de corte de los grados ofrecidos en la Universidad CEU San Pablo en los fragmentos proporcionados. Si deseas, puedo ayudarte con otra consulta o indicarte dónde podrías encontrar ese dato.</t>
  </si>
  <si>
    <t>En la información proporcionada no se menciona nada acerca de residencias universitarias en la Universidad CEU San Pablo. Si deseas, puedo ayudarte a buscar más información o indicarte contactos para resolver esa duda.</t>
  </si>
  <si>
    <t>da lista parcial pero no pide aclaración</t>
  </si>
  <si>
    <t>no</t>
  </si>
  <si>
    <t>da respuesta general</t>
  </si>
  <si>
    <t>da mucha información sin pedir especificaciones, alucina</t>
  </si>
  <si>
    <t>da lista de muchos grados (no todos) pero pide aclaración</t>
  </si>
  <si>
    <t>chat-1</t>
  </si>
  <si>
    <t>chat-2</t>
  </si>
  <si>
    <t>ingeniería</t>
  </si>
  <si>
    <t>¿y Farmacia?</t>
  </si>
  <si>
    <t>chat-3</t>
  </si>
  <si>
    <t>en ingeniería</t>
  </si>
  <si>
    <t>chat-4</t>
  </si>
  <si>
    <t>¿y el de Medicina?</t>
  </si>
  <si>
    <t>chat-5</t>
  </si>
  <si>
    <t>id_conversacion</t>
  </si>
  <si>
    <t>turno</t>
  </si>
  <si>
    <t>session_id</t>
  </si>
  <si>
    <t>mensaje_usuario</t>
  </si>
  <si>
    <t>tipo_error</t>
  </si>
  <si>
    <t>Debe pedir aclaración sobre área/facultad</t>
  </si>
  <si>
    <t>Pide aclaración sobre área/facultad</t>
  </si>
  <si>
    <t>ninguno</t>
  </si>
  <si>
    <t>Correcto</t>
  </si>
  <si>
    <t>Debe listar grados de ingeniería</t>
  </si>
  <si>
    <t>Lista grados de ingeniería, pero al final vuelve a pedir aclaración innecesariamente</t>
  </si>
  <si>
    <t>parcial</t>
  </si>
  <si>
    <t>respuesta poco natural</t>
  </si>
  <si>
    <t>La memoria funciona, pero el cierre conversacional sobra</t>
  </si>
  <si>
    <t>Debe responder idiomas de Medicina</t>
  </si>
  <si>
    <t>Responde español y bilingüe</t>
  </si>
  <si>
    <t>Debe entender seguimiento y responder idiomas de Farmacia</t>
  </si>
  <si>
    <t>Responde idiomas de Farmacia</t>
  </si>
  <si>
    <t>Muy buen caso de memoria conversacional</t>
  </si>
  <si>
    <t>Pide aclaración</t>
  </si>
  <si>
    <t>Debe listar dobles grados de ingeniería</t>
  </si>
  <si>
    <t>Lista grados de ingeniería, no dobles grados</t>
  </si>
  <si>
    <t>mala reconstrucción</t>
  </si>
  <si>
    <t>Interpretó “en ingeniería” como grados, no dobles grados</t>
  </si>
  <si>
    <t>Debe responder campus Moncloa y Montepríncipe</t>
  </si>
  <si>
    <t>Responde correctamente</t>
  </si>
  <si>
    <t>Debe responder ubicación/campus asociado a Medicina</t>
  </si>
  <si>
    <t>Responde plan de estudios de Medicina</t>
  </si>
  <si>
    <t>Cambió la intención de campus a información general del grado</t>
  </si>
  <si>
    <t>Debe responder prácticas de Farmacia</t>
  </si>
  <si>
    <t>¿y en Medicina?</t>
  </si>
  <si>
    <t>Debe responder prácticas de Medicina</t>
  </si>
  <si>
    <t>Responde lista de grados de Medicina</t>
  </si>
  <si>
    <t>No mantuvo la intención “prácticas”</t>
  </si>
  <si>
    <t>Total turnos evaluados: 10</t>
  </si>
  <si>
    <t>Turnos correctos: 6</t>
  </si>
  <si>
    <t>Turnos parciales: 1</t>
  </si>
  <si>
    <t>Turnos incorrectos: 3</t>
  </si>
  <si>
    <t>La memoria conversacional básica funciona bien cuando el seguimiento mantiene una intención sencilla, como comparar idiomas entre titulaciones. Sin embargo, falla cuando debe conservar intenciones más específicas como “dobles grados”, “campus” o “prácticas”. Esto indica que no basta con guardar historial textual: hace falta almacenar o inferir la intención anterior.</t>
  </si>
  <si>
    <t>INTENTO 1</t>
  </si>
  <si>
    <t>INTENTO 2 (DESPUÉS DE MEJORA)</t>
  </si>
  <si>
    <t>chat-6</t>
  </si>
  <si>
    <t>ingenieria</t>
  </si>
  <si>
    <t>Lista correctamente grados de ingeniería sin pedir aclaración extra</t>
  </si>
  <si>
    <t>Mejora clara respecto a versiones anteriores</t>
  </si>
  <si>
    <t>chat-7</t>
  </si>
  <si>
    <t>Pide aclaración correctamente</t>
  </si>
  <si>
    <t>Lista correctamente dobles grados de ingeniería</t>
  </si>
  <si>
    <t>Muy buen comportamiento de memoria + intención</t>
  </si>
  <si>
    <t>chat-8</t>
  </si>
  <si>
    <t>¿y el de medicina?</t>
  </si>
  <si>
    <t>Debe responder campus asociado a Medicina</t>
  </si>
  <si>
    <t>Responde correctamente indicando Montepríncipe y añade contexto útil</t>
  </si>
  <si>
    <t>Gran mejora en reconstrucción de intención</t>
  </si>
  <si>
    <t>Total de turnos evaluados: 6</t>
  </si>
  <si>
    <t>Turnos parciales: 0</t>
  </si>
  <si>
    <t>Turnos incorrectos: 0</t>
  </si>
  <si>
    <t>La incorporación de memoria conversacional basada en detección de intención ha permitido mejorar significativamente la coherencia y precisión del sistema en interacciones multi-turno.</t>
  </si>
  <si>
    <t>Precisión: 60%</t>
  </si>
  <si>
    <t>Precisión: 100%</t>
  </si>
  <si>
    <t>canal</t>
  </si>
  <si>
    <t>tipo_prueba</t>
  </si>
  <si>
    <t>criterio_correcto</t>
  </si>
  <si>
    <t>correcta/parcial/incorrecta</t>
  </si>
  <si>
    <t>whatsapp</t>
  </si>
  <si>
    <t>saludo</t>
  </si>
  <si>
    <t>eval-01</t>
  </si>
  <si>
    <t>hola</t>
  </si>
  <si>
    <t>Saludo breve y ofrecimiento de ayuda sobre la Universidad CEU San Pablo</t>
  </si>
  <si>
    <t>No debe activar RAG ni responder con información académica concreta</t>
  </si>
  <si>
    <t>gracias</t>
  </si>
  <si>
    <t>Respuesta breve de agradecimiento/cierre amable</t>
  </si>
  <si>
    <t>No debe reformularse como pregunta ni hacer retrieval</t>
  </si>
  <si>
    <t>hasta luego</t>
  </si>
  <si>
    <t>Despedida breve y natural</t>
  </si>
  <si>
    <t>No debe recuperar documentos</t>
  </si>
  <si>
    <t>admisión</t>
  </si>
  <si>
    <t>eval-02</t>
  </si>
  <si>
    <t>¿Cómo funciona el proceso de admisión?</t>
  </si>
  <si>
    <t>Explica de forma breve el proceso general y aporta enlace oficial de admisión</t>
  </si>
  <si>
    <t>Debe incluir https://www.uspceu.com/admision-ayuda/admision-grado/informacion-admision</t>
  </si>
  <si>
    <t>¿Dónde puedo matricularme?</t>
  </si>
  <si>
    <t>Indica información general de admisión/matrícula y enlace oficial</t>
  </si>
  <si>
    <t>Debe dirigir al enlace oficial sin inventar detalles</t>
  </si>
  <si>
    <t>precios</t>
  </si>
  <si>
    <t>eval-03</t>
  </si>
  <si>
    <t>¿Cuánto cuesta estudiar Medicina?</t>
  </si>
  <si>
    <t>Indica que los precios dependen del grado/curso y aporta enlace oficial de precios</t>
  </si>
  <si>
    <t>Debe incluir https://www.uspceu.com/admision-ayuda/admision-grado/precios</t>
  </si>
  <si>
    <t>precio de farmacia</t>
  </si>
  <si>
    <t>Indica enlace oficial de precios</t>
  </si>
  <si>
    <t>Debe ser breve y no inventar cifras</t>
  </si>
  <si>
    <t>facultades</t>
  </si>
  <si>
    <t>eval-04</t>
  </si>
  <si>
    <t>¿Qué facultades hay en el CEU?</t>
  </si>
  <si>
    <t>Lista las facultades/escuelas principales configuradas</t>
  </si>
  <si>
    <t>Respuesta estática correcta y bien estructurada</t>
  </si>
  <si>
    <t>dame más información sobre la facultad de humanidades</t>
  </si>
  <si>
    <t>Debe pasar a RAG y responder sobre Humanidades y Comunicación</t>
  </si>
  <si>
    <t>No debe devolver otra vez la lista general de facultades</t>
  </si>
  <si>
    <t>¿y la politécnica?</t>
  </si>
  <si>
    <t>Responde sobre la Escuela Politécnica Superior usando contexto anterior</t>
  </si>
  <si>
    <t>Debe entender el follow-up</t>
  </si>
  <si>
    <t>listado_grados</t>
  </si>
  <si>
    <t>eval-05</t>
  </si>
  <si>
    <t>Pide concretar área o facultad</t>
  </si>
  <si>
    <t>No debe dar una lista incompleta inventada</t>
  </si>
  <si>
    <t>Lista grados de ingeniería</t>
  </si>
  <si>
    <t>Debe usar contexto anterior</t>
  </si>
  <si>
    <t>eval-06</t>
  </si>
  <si>
    <t>¿Qué grados ofrece Medicina?</t>
  </si>
  <si>
    <t>Lista grados de la Facultad de Medicina</t>
  </si>
  <si>
    <t>Debe incluir Medicina, Enfermería, Fisioterapia, Odontología, Psicología, Genética, Bioinformática si están en documentos</t>
  </si>
  <si>
    <t>eval-07</t>
  </si>
  <si>
    <t>¿Qué grados ofrece Farmacia?</t>
  </si>
  <si>
    <t>Responde sobre el grado/oferta de Farmacia según documentos</t>
  </si>
  <si>
    <t>No debe mezclar con Medicina o Ingeniería</t>
  </si>
  <si>
    <t>dobles_grados</t>
  </si>
  <si>
    <t>eval-08</t>
  </si>
  <si>
    <t>Pide concretar área/facultad</t>
  </si>
  <si>
    <t>No debe dar listado parcial global</t>
  </si>
  <si>
    <t>Lista dobles grados de ingeniería</t>
  </si>
  <si>
    <t>Respuesta debe estar estructurada en lista</t>
  </si>
  <si>
    <t>eval-09</t>
  </si>
  <si>
    <t>¿Qué dobles grados tiene farmacia?</t>
  </si>
  <si>
    <t>Responde con dobles grados relacionados con Farmacia según documentos</t>
  </si>
  <si>
    <t>No debe inventar combinaciones</t>
  </si>
  <si>
    <t>idiomas</t>
  </si>
  <si>
    <t>eval-10</t>
  </si>
  <si>
    <t>Indica Español y Bilingüe</t>
  </si>
  <si>
    <t>Debe ser breve y preciso</t>
  </si>
  <si>
    <t>Indica opciones de idioma de Farmacia usando contexto</t>
  </si>
  <si>
    <t>Debe entender que se pregunta por idiomas</t>
  </si>
  <si>
    <t>¿y Fisioterapia?</t>
  </si>
  <si>
    <t>Indica opciones de idioma de Fisioterapia</t>
  </si>
  <si>
    <t>Debe mantener tema de idiomas</t>
  </si>
  <si>
    <t>campus</t>
  </si>
  <si>
    <t>eval-11</t>
  </si>
  <si>
    <t>Indica Campus Moncloa y Campus Montepríncipe con direcciones</t>
  </si>
  <si>
    <t>Debe estar estructurado y sin bloques largos</t>
  </si>
  <si>
    <t>Indica campus asociado a Medicina si está en documentos</t>
  </si>
  <si>
    <t>Debe entender follow-up de campus</t>
  </si>
  <si>
    <t>eval-12</t>
  </si>
  <si>
    <t>campus de farmacia</t>
  </si>
  <si>
    <t>Responde ubicación/campus asociado a Farmacia si está en documentos</t>
  </si>
  <si>
    <t>No debe responder sobre plan de estudios</t>
  </si>
  <si>
    <t>practicas</t>
  </si>
  <si>
    <t>eval-13</t>
  </si>
  <si>
    <t>Indica más de 1700 horas, laboratorios, oficinas de farmacia, hospitales, prácticas tuteladas si aparece</t>
  </si>
  <si>
    <t>Debe sintetizar sin exagerar</t>
  </si>
  <si>
    <t>Responde sobre prácticas clínicas de Medicina</t>
  </si>
  <si>
    <t>Debe mantener tema de prácticas</t>
  </si>
  <si>
    <t>eval-14</t>
  </si>
  <si>
    <t>prácticas de fisioterapia</t>
  </si>
  <si>
    <t>Responde sobre prácticas de Fisioterapia si aparecen</t>
  </si>
  <si>
    <t>Debe recuperar la titulación correcta</t>
  </si>
  <si>
    <t>memoria</t>
  </si>
  <si>
    <t>eval-15</t>
  </si>
  <si>
    <t>¿Qué idiomas tiene Informática?</t>
  </si>
  <si>
    <t>Responde sobre idioma/opciones de Ingeniería de Sistemas de Información si está disponible</t>
  </si>
  <si>
    <t>Debe interpretar Informática como grado relacionado</t>
  </si>
  <si>
    <t>¿y el campus?</t>
  </si>
  <si>
    <t>Responde sobre campus de ese grado o área</t>
  </si>
  <si>
    <t>No debe decir idiomas del campus</t>
  </si>
  <si>
    <t>¿y las prácticas?</t>
  </si>
  <si>
    <t>Responde sobre prácticas del grado/área anterior</t>
  </si>
  <si>
    <t>Debe mantener entidad anterior</t>
  </si>
  <si>
    <t>recomendacion</t>
  </si>
  <si>
    <t>eval-16</t>
  </si>
  <si>
    <t>¿Qué grado me recomiendas si me gustan los datos y la programación?</t>
  </si>
  <si>
    <t>Recomienda grados relacionados con datos/informática de forma prudente</t>
  </si>
  <si>
    <t>Debe aclarar que es orientación, no decisión definitiva</t>
  </si>
  <si>
    <t>¿y si además me gustan las matemáticas?</t>
  </si>
  <si>
    <t>Relaciona con Ingeniería Matemática/Ciencia e Ingeniería de Datos</t>
  </si>
  <si>
    <t>eval-17</t>
  </si>
  <si>
    <t>Soy creativo y me gusta comunicar, ¿qué grado podría interesarme?</t>
  </si>
  <si>
    <t>Orienta hacia áreas de Comunicación/Humanidades si hay evidencia</t>
  </si>
  <si>
    <t>No debe inventar información no respaldada</t>
  </si>
  <si>
    <t>fuera_contexto</t>
  </si>
  <si>
    <t>eval-18</t>
  </si>
  <si>
    <t>¿Cuál es la capital de Australia?</t>
  </si>
  <si>
    <t>Debe indicar que solo puede ayudar con información de la Universidad CEU San Pablo</t>
  </si>
  <si>
    <t>No debe responder conocimiento general</t>
  </si>
  <si>
    <t>¿Quién ganó la Champions en 2024?</t>
  </si>
  <si>
    <t>Debe rechazar/redirigir educadamente</t>
  </si>
  <si>
    <t>No debe salirse del dominio</t>
  </si>
  <si>
    <t>ambigua</t>
  </si>
  <si>
    <t>eval-19</t>
  </si>
  <si>
    <t>No debe inventar ni asumir sin contexto</t>
  </si>
  <si>
    <t>Medicina</t>
  </si>
  <si>
    <t>Responde según contexto si lo puede inferir o pide aclaración</t>
  </si>
  <si>
    <t>Debe ser natural</t>
  </si>
  <si>
    <t>eval-20</t>
  </si>
  <si>
    <t>quiero estudiar en el ceu</t>
  </si>
  <si>
    <t>Responde preguntando área/interés y ofreciendo ayuda</t>
  </si>
  <si>
    <t>No debe lanzar listado aleatorio</t>
  </si>
  <si>
    <t>me interesa salud</t>
  </si>
  <si>
    <t>Orienta hacia Medicina, Enfermería, Fisioterapia, Odontología, Farmacia, Psicología, etc.</t>
  </si>
  <si>
    <t>Debe estructurar por áreas</t>
  </si>
  <si>
    <t>robustez</t>
  </si>
  <si>
    <t>eval-21</t>
  </si>
  <si>
    <t>dime que facultaes nay en el ceu</t>
  </si>
  <si>
    <t>Entiende error tipográfico y responde facultades</t>
  </si>
  <si>
    <t>No debe fallar por faltas</t>
  </si>
  <si>
    <t>seguro?</t>
  </si>
  <si>
    <t>Responde de forma coherente sin inventar nuevos datos</t>
  </si>
  <si>
    <t>Debe mantener contexto y no contradecirse</t>
  </si>
  <si>
    <t>eval-22</t>
  </si>
  <si>
    <t>ke grados ai de ingenieria</t>
  </si>
  <si>
    <t>Lista grados de ingeniería pese a errores</t>
  </si>
  <si>
    <t>Robustez ante escritura informal</t>
  </si>
  <si>
    <t>eval-23</t>
  </si>
  <si>
    <t>precios???</t>
  </si>
  <si>
    <t>Responde con enlace oficial de precios</t>
  </si>
  <si>
    <t>No debe pasar a RAG</t>
  </si>
  <si>
    <t>eval-24</t>
  </si>
  <si>
    <t>admisión grado</t>
  </si>
  <si>
    <t>Responde con enlace oficial de admisión</t>
  </si>
  <si>
    <t>No debe inventar pasos específicos si no están controlados</t>
  </si>
  <si>
    <t>web</t>
  </si>
  <si>
    <t>eval-web-01</t>
  </si>
  <si>
    <t>Pide concretar área</t>
  </si>
  <si>
    <t>Consistente con WhatsApp</t>
  </si>
  <si>
    <t>Mantiene sesión web</t>
  </si>
  <si>
    <t>¿y dobles?</t>
  </si>
  <si>
    <t>Follow-up correcto</t>
  </si>
  <si>
    <t>eval-web-02</t>
  </si>
  <si>
    <t>Dos campus y direcciones</t>
  </si>
  <si>
    <t>Respuesta breve y estructurada</t>
  </si>
  <si>
    <t>¿y medicina?</t>
  </si>
  <si>
    <t>Campus de Medicina</t>
  </si>
  <si>
    <t>estilo</t>
  </si>
  <si>
    <t>eval-style-01</t>
  </si>
  <si>
    <t>Explícame las opciones de idioma de Medicina, Farmacia y Fisioterapia</t>
  </si>
  <si>
    <t>Respuesta estructurada por titulación</t>
  </si>
  <si>
    <t>Debe usar bullets o párrafos cortos</t>
  </si>
  <si>
    <t>eval-style-02</t>
  </si>
  <si>
    <t>Dime todos los dobles grados de ingeniería y explícalos un poco</t>
  </si>
  <si>
    <t>Lista estructurada, no párrafo enorme</t>
  </si>
  <si>
    <t>Debe ser legible y no demasiado larga</t>
  </si>
  <si>
    <t>¡Hola! Soy el asistente de la Universidad CEU San Pablo. Puedo ayudarte con información sobre grados, dobles grados, idiomas, prácticas, campus, admisión y precios. ¿En qué puedo ayudarte?</t>
  </si>
  <si>
    <t>respuesta obtenida</t>
  </si>
  <si>
    <t>Correcta</t>
  </si>
  <si>
    <t>Saludo adecuado, breve y orientado al dominio del chatbot.</t>
  </si>
  <si>
    <t>¡De nada! Si necesitas más información sobre el CEU, aquí estoy para ayudarte.</t>
  </si>
  <si>
    <t>Respuesta correcta de agradecimiento; no activa RAG ni reformulación innecesaria.</t>
  </si>
  <si>
    <t>¡Hasta luego! Ha sido un placer ayudarte.</t>
  </si>
  <si>
    <t>Despedida breve y natural.</t>
  </si>
  <si>
    <t>El proceso de admisión para estudios de grado en la Universidad CEU San Pablo incluye la solicitud de admisión y la presentación de la documentación requerida. Puedes consultar la información oficial y actualizada aquí: https://www.uspceu.com/admision-ayuda/admision-grado/informacion-admision</t>
  </si>
  <si>
    <t>Respuesta adecuada; incluye enlace oficial de admisión.</t>
  </si>
  <si>
    <t>Respuesta válida para matrícula/admisión; incluye fuente oficial.</t>
  </si>
  <si>
    <t>Los precios dependen del grado y del curso académico. Puedes consultar la información oficial y actualizada aquí: https://www.uspceu.com/admision-ayuda/admision-grado/precios</t>
  </si>
  <si>
    <t>Respuesta correcta; no inventa cifras y enlaza a la página oficial.</t>
  </si>
  <si>
    <t>Respuesta correcta y prudente sobre precios.</t>
  </si>
  <si>
    <t>La Universidad CEU San Pablo cuenta con varias facultades y escuelas: - Facultad de Derecho - Facultad de Ciencias Económicas y Empresariales - Facultad de Farmacia - Facultad de Medicina - Facultad de Humanidades y Ciencias de la Comunicación - Escuela Politécnica Superior Si quieres, puedo darte información sobre los grados de una facultad concreta.</t>
  </si>
  <si>
    <t>Lista correctamente las facultades/escuelas configuradas y ofrece continuación.</t>
  </si>
  <si>
    <t>La Facultad de Humanidades y Ciencias de la Comunicación en la Universidad CEU San Pablo ofrece una formación que combina una sólida base cultural, científica y metodológica en áreas como la literatura, el arte, la historia y la filosofía, con habilidades prácticas en comunicación y nuevas tecnologías. Podrás estudiar grados y dobles grados que te preparan para ser un profesional innovador, con capacidades para analizar, crear y comunicar en un entorno digital y cultural complejo. Además, la facultad dispone del HUB, un espacio colaborativo donde los estudiantes de distintas disciplinas pueden innovar, aprender y desarrollar competencias profesionales actuales. Entre los estudios que ofrece están Humanidades, Comunicación Digital, Publicidad y Relaciones Públicas, Periodismo, Comunicación Audiovisual, Historia, Historia del Arte, Educación Infantil y Primaria, y Filosofía, Política y Comunicación. Esta combinación prepara a los alumnos para desempeñarse en sectores como la comunicación, la docencia, la investigación, la publicidad, la industria cultural y más, destacando por su enfoque crítico, creativo y global.</t>
  </si>
  <si>
    <t>Responde sobre la Facultad de Humanidades sin activar la respuesta estática general; algo larga, pero correcta.</t>
  </si>
  <si>
    <t>Claro. La Escuela Politécnica Superior de la Universidad CEU San Pablo se caracteriza por su compromiso con la máxima calidad docente y el rigor científico, combinando formación teórica y práctica. Ofrece una formación integral que responde a las demandas actuales de la sociedad. Además, en algunos grados, la docencia es bilingüe, lo que puede facilitar un aprendizaje más completo y competitivo.</t>
  </si>
  <si>
    <t>Entiende el follow-up sobre la Politécnica y responde de forma coherente.</t>
  </si>
  <si>
    <t>Hay muchos grados y dobles grados en distintas facultades. ¿Te interesa alguna área en concreto como Ingeniería, Medicina, Farmacia, Derecho o Empresa?</t>
  </si>
  <si>
    <t>Para una pregunta global de grados, pide concreción y evita una lista incompleta.</t>
  </si>
  <si>
    <t>Los grados en Ingeniería que ofrece la Escuela Politécnica Superior de la Universidad CEU San Pablo son: 1. Ingeniería Biomédica 2. Ingeniería de Sistemas de Telecomunicación 3. Ingeniería de Sistemas de Información 4. Ingeniería Matemática (en doble grado con Física)</t>
  </si>
  <si>
    <t>Parcial</t>
  </si>
  <si>
    <t>Entiende el área, pero la lista de grados de ingeniería parece incompleta y mezcla Ingeniería Matemática con doble grado.</t>
  </si>
  <si>
    <t>La Facultad de Medicina ofrece los siguientes grados: 1. Medicina (opciones en Español y Bilingüe) 2. Enfermería (Español) 3. Fisioterapia (Español e Inglés) 4. Odontología (Español e Inglés) 5. Psicología (Español) 6. Genética (Español) 7. Bioinformática y Datos Masivos (Big Data) (Español) Además, ofrece un doble grado en: - Genética + Bioinformática y Datos Masivos (Big Data) (Español)</t>
  </si>
  <si>
    <t>Listado completo y estructurado de la Facultad de Medicina.</t>
  </si>
  <si>
    <t>Los grados que ofrece la Facultad de Farmacia son: 1. Farmacia 2. Biotecnología 3. Nutrición Humana y Dietética 4. Nutrición Humana y Dietética para Farmacéuticos (semipresencial) 5. Óptica y Optometría (modalidad presencial o semipresencial) 6. Óptica y Optometría para Farmacéuticos (semipresencial)</t>
  </si>
  <si>
    <t>Respuesta correcta y bien estructurada sobre la Facultad de Farmacia.</t>
  </si>
  <si>
    <t>Para una pregunta global de dobles grados, pide concreción y evita listar parcialmente.</t>
  </si>
  <si>
    <t>Los dobles grados en la facultad de Ingeniería son: 1. Ingeniería Biomédica + Ingeniería de Sistemas de Telecomunicación (Bilingüe) 2. Ingeniería de Sistemas de Información + Administración y Dirección de Empresas (Español) 3. Arte Digital + Ingeniería en Tecnologías para Animación y Videojuegos (Español) 4. Ingeniería Matemática + Ciencia e Ingeniería de Datos (Español) 5. Ciencia e Ingeniería de Datos + Ingeniería de Sistemas de Información (Inglés) 6. Ingeniería Matemática + Física (Español)</t>
  </si>
  <si>
    <t>Lista correctamente los dobles grados de ingeniería y mantiene el contexto.</t>
  </si>
  <si>
    <t>Los dobles grados que tiene Farmacia en la Universidad CEU San Pablo son: 1. Farmacia + Administración y Dirección de Empresas 2. Farmacia + Óptica y Optometría 3. Farmacia + Biotecnología 4. Farmacia + Nutrición Humana y Dietética</t>
  </si>
  <si>
    <t>Respuesta correcta y específica sobre dobles grados de Farmacia.</t>
  </si>
  <si>
    <t>El grado en Medicina en la Universidad CEU San Pablo se ofrece en dos opciones de idioma: en español y en modalidad bilingüe, donde algunos créditos se imparten en español y otros en inglés.</t>
  </si>
  <si>
    <t>Respuesta precisa sobre idiomas de Medicina.</t>
  </si>
  <si>
    <t>El Grado en Farmacia en la Universidad CEU San Pablo se ofrece en español y también en modalidad bilingüe.</t>
  </si>
  <si>
    <t>Mantiene el tema de idiomas y responde correctamente sobre Farmacia.</t>
  </si>
  <si>
    <t>En la información proporcionada no se especifica en qué idiomas se ofrece el Grado en Fisioterapia en la Universidad CEU San Pablo.</t>
  </si>
  <si>
    <t>Incorrecta</t>
  </si>
  <si>
    <t>No responde al criterio esperado; debería indicar las opciones de idioma de Fisioterapia si están disponibles en la base documental.</t>
  </si>
  <si>
    <t>La Universidad CEU San Pablo tiene dos campus: 1. Campus Moncloa, en C/ Julián Romea, 18, Madrid. 2. Campus Montepríncipe, en Av. de Montepríncipe, s/n, Boadilla del Monte.</t>
  </si>
  <si>
    <t>Respuesta correcta, breve y estructurada sobre los campus.</t>
  </si>
  <si>
    <t>La Facultad de Medicina de la Universidad CEU San Pablo está ubicada en el campus Montepríncipe. Allí cuentan con un Hospital Universitario de Simulación que dispone de instalaciones como quirófano, urgencias y UCI para realizar prácticas con simuladores, lo que permite una formación muy completa. También ofrecen actividades académicas y científicas variadas, como congresos y seminarios, para enriquecer la experiencia formativa. Puedes conocer más del campus a través de su visita virtual.</t>
  </si>
  <si>
    <t>Responde correctamente al campus de Medicina, aunque añade información extra.</t>
  </si>
  <si>
    <t>La Facultad de Farmacia de la Universidad CEU San Pablo ofrece la docencia presencial para 1º y 2º curso, así como el primer semestre de 3º curso en el campus. A partir del segundo semestre de 3º curso y en 4º curso, la modalidad es semipresencial, con teoría online y prácticas presenciales en el campus.</t>
  </si>
  <si>
    <t>Responde sobre modalidad y presencialidad, pero no identifica claramente el campus o ubicación de Farmacia.</t>
  </si>
  <si>
    <t>El Grado en Farmacia de la Universidad CEU San Pablo incluye más de 1.700 horas de prácticas. Estas prácticas se realizan en laboratorios de la facultad, oficinas de farmacia y hospitales, para que puedas adquirir experiencia real en distintos ámbitos como la farmacia comunitaria, hospitalaria y la investigación. Además, el plan contempla 24 créditos de Prácticas Tuteladas y ofrece prácticas académicas externas como asignatura optativa. En resumen, las prácticas abarcan laboratorios, farmacias y hospitales, con un enfoque muy completo y orientado a la formación profesional.</t>
  </si>
  <si>
    <t>Respuesta completa y alineada con el criterio sobre prácticas de Farmacia.</t>
  </si>
  <si>
    <t>El Grado en Medicina de la Universidad CEU San Pablo ofrece prácticas desde el primer curso en laboratorios equipados con tecnología avanzada para desarrollar habilidades técnicas y humanas. A partir de tercero, las prácticas se realizan en hospitales públicos y privados de referencia, donde los estudiantes rotan por más de 35 especialidades médicas y quirúrgicas. Algunos de los centros hospitalarios donde se hacen las prácticas son: - Hospital Viamed Santa Elena, con unidad de cuidados intensivos y área de maternidad. - Hospital Infanta Cristina, con especialidades como cardiología, digestivo, endocrinología, neurología, cirugía general, traumatología, pediatría y obstetricia. - Hospital Vithas Madrid Aravaca, con medicina interna, nefrología, psiquiatría, radiología y otorrinolaringología. - Fundación Hospitalarias Madrid, con unidades médico-quirúrgicas, cuidados paliativos y odontología. - Centro Los Camilos y Centro Laguna Norte, especializados en cuidados paliativos y atención a mayores. Esta formación práctica en entornos de simulación avanzada y hospitales garantiza un perfil profesional completo, autónomo y con capacidad de liderazgo.</t>
  </si>
  <si>
    <t>Responde correctamente al follow-up sobre prácticas de Medicina; es extensa pero bien estructurada.</t>
  </si>
  <si>
    <t>El Grado en Fisioterapia de la Universidad CEU San Pablo destaca por ser el que ofrece más horas de prácticas en España, representando aproximadamente el 60% del total de las horas lectivas. Estas prácticas se realizan durante los cuatro años del grado e incluyen estancias clínicas en distintos ámbitos, como hospitales, centros de salud, atención primaria y clínicas de fisioterapia, tanto en el sector público como privado. Esto permite a los estudiantes adquirir experiencia directa en asistencia clínica y en áreas especializadas como fisioterapia deportiva, neurológica, cardiorespiratoria, pediátrica, entre otras.</t>
  </si>
  <si>
    <t>Respuesta adecuada sobre prácticas de Fisioterapia.</t>
  </si>
  <si>
    <t>El grado en Ingeniería Informática en la Universidad CEU San Pablo se ofrece en dos opciones de idioma: 1. Español: Todos los créditos se imparten en español. 2. Inglés: Al menos el 90% de los créditos se imparten en inglés.</t>
  </si>
  <si>
    <t>Interpreta correctamente Informática como Ingeniería de Sistemas de Información y responde sobre idiomas.</t>
  </si>
  <si>
    <t>El grado en Ingeniería de Sistemas de Información (Ingeniería Informática) se imparte en la Escuela Politécnica Superior, ubicada en el campus de Montepríncipe de la Universidad CEU San Pablo.</t>
  </si>
  <si>
    <t>Mantiene el contexto y responde correctamente sobre el campus.</t>
  </si>
  <si>
    <t>En el Doble Grado en Ingeniería de Sistemas de Información + ADE que se imparte en el campus de Montepríncipe de la Universidad CEU San Pablo, las prácticas son parte fundamental desde el primer día. Se realizan en grupos reducidos y están enfocadas en aplicar la teoría en laboratorios e instalaciones modernas y totalmente equipadas. Esto permite una formación práctica, preparando al alumno para desarrollar y configurar sistemas informáticos reales en entornos empresariales.</t>
  </si>
  <si>
    <t>Mantiene el tema de prácticas, pero cambia la entidad a un doble grado concreto no pedido explícitamente.</t>
  </si>
  <si>
    <t>Si te gustan los datos y la programación, te recomiendo el doble grado que incluye Fundamentos Matemáticos para la Ciencia e Ingeniería de Datos y asignaturas de programación desde primero, junto con cursos en estadística, aprendizaje automático, bases de datos y sistemas operativos. Este plan combina una sólida formación en análisis de datos, minería de datos y desarrollo de software, preparándote para diseñar bases de datos, analizar información y programar soluciones tecnológicas avanzadas. Además, al menos el 90% de los créditos se imparten en inglés, lo que mejora tu preparación internacional.</t>
  </si>
  <si>
    <t>La recomendación es razonable, pero no nombra claramente el grado o doble grado recomendado.</t>
  </si>
  <si>
    <t>Te recomiendo el Grado en Ingeniería Matemática, que combina una sólida formación matemática con el dominio de lenguajes de programación como Python, R, Julia o SQL, y te permite especializarte en Inteligencia Artificial o Análisis Cuantitativo y Finanzas, ambos con enfoque aplicado y gran empleabilidad. Otra opción ideal es el Doble Grado en Ingeniería Matemática (Mención en Inteligencia Artificial) y Ciencia e Ingeniería de Datos. Este programa bilingüe de cinco años te prepara como experto en análisis y gestión de grandes datos y creación de sistemas inteligentes, con itinerarios en Bioinformática o Sistemas de Información Empresarial. Ambos te proporcionan excelentes conocimientos para trabajar en tecnología, finanzas, medicina y más.</t>
  </si>
  <si>
    <t>Mantiene el contexto y recomienda opciones coherentes con matemáticas, datos y programación.</t>
  </si>
  <si>
    <t>Si eres creativo y te gusta comunicar, te podría interesar el Doble Grado en Publicidad y Relaciones Públicas. Este programa te prepara para trabajos en creatividad como director de arte, copywriter, redactor o diseñador gráfico y multimedia. También desarrolla habilidades en estrategia de comunicación, relaciones públicas y marketing digital. Además, puedes acceder a una Doble Titulación Internacional que incluye estancia en una universidad extranjera.</t>
  </si>
  <si>
    <t>Recomendación coherente con un perfil creativo y comunicador.</t>
  </si>
  <si>
    <t>La información proporcionada no incluye datos sobre la capital de Australia. Si quieres, puedo ayudarte con información sobre la universidad o sus programas.</t>
  </si>
  <si>
    <t>Rechaza correctamente una pregunta fuera del dominio y redirige.</t>
  </si>
  <si>
    <t>No dispongo de información sobre quién ganó la Champions en 2024 en los fragmentos proporcionados. ¿Quieres que te ayude con alguna consulta sobre la Universidad CEU San Pablo?</t>
  </si>
  <si>
    <t>No responde conocimiento general y redirige al dominio del chatbot.</t>
  </si>
  <si>
    <t>Estas son las opciones de grados, dobles grados y titulaciones disponibles: 1. Ingeniería Matemática + Ciencia e Ingeniería de Datos 2. Periodismo + Publicidad y RR.PP. 3. Comunicación Audiovisual + Periodismo 4. Comunicación Audiovisual + Publicidad y RR.PP. 5. Comunicación Digital + Periodismo 6. Comunicación Digital + Comunicación Audiovisual 7. Comunicación Digital + Publicidad y RR.PP. 8. Humanidades + Periodismo 9. Humanidades + Publicidad y RR.PP. 10. Humanidades + Comunicación Audiovisual 11. Humanidades + Comunicación Digital 12. Historia + Historia del Arte 13. Historia + Periodismo 14. Educación Infantil + Educación Primaria 15. Educación Primaria + Humanidades 16. Periodismo + Relaciones Internacionales y Unión Europea 17. Publicidad y RR.PP. + Marketing 18. Derecho + Periodismo 19. Derecho + Ciencias Criminológicas y de la Seguridad 20. Derecho + Relaciones Internacionales y Unión Europea 21. Derecho + Administración y Dirección de Empresas 22. Derecho + Publicidad y RR.PP. 23. Economía + Relaciones Internacionales y Unión Europea 24. Administración y Dirección de Empresas (ADE) + Marketing 25. Economía + ADE 26. Inteligencia de Negocios + ADE 27. Inteligencia de Negocios + Economía 28. Derecho + ADE 29. Marketing + Comunicación Digital 30. Publicidad y Relaciones Públicas + Marketing 31. Farmacia + ADE 32. Ingeniería de Sistemas de Información + ADE 33. Ingeniería Biomédica + Ingeniería de Sistemas de Telecomunicación 34. Arte Digital + Ingeniería en Tecnologías para Animación y Videojuegos 35. Ingeniería Matemática + Física 36. Ciencia e Ingeniería de Datos + Ingeniería de Sistemas de Información 37. Fundamentos de la Arquitectura 38. Ingeniería Biomédica 39. Ingeniería de Sistemas de Información 40. Ingeniería de Sistemas de Telecomunicación 41. Arte Digital 42. Ingeniería en Tecnologías para Animación y Videojuegos 43. Ingeniería Matemática 44. Diseño de Interiores 45. Ciencia e Ingeniería de Datos 46. Física 47. Diseño y Gestión de la Industria de la Moda e Industrias Creativas 48. Diseño y Gestión Estratégica de Producto Además, el Grado en Economía tiene mención en Negocios Internacionales y en Finanzas.</t>
  </si>
  <si>
    <t>La pregunta era ambigua y debía pedir aclaración; responde con un listado enorme no solicitado.</t>
  </si>
  <si>
    <t>Claro. En la Universidad CEU San Pablo, el Grado en Medicina ofrece una formación completa que combina innovación, investigación, prácticas desde el primer curso y una visión internacional. Desde el inicio, harás prácticas en laboratorios con tecnologías avanzadas y, a partir de tercer curso, tendrás experiencia en hospitales públicos y privados de referencia. Esto te prepara para un perfil profesional con autonomía y capacidad de liderazgo. Las salidas profesionales incluyen especialización a través del programa MIR, que facilita la movilidad en la Unión Europea, medicina clínica tanto en sanidad pública como privada, investigación, docencia, gestión sanitaria, carrera en sanidad militar y voluntariado. Además, la universidad cuenta con la acreditación internacional WSCUC/WASC (2025-2031), que certifica la calidad académica del título. También ofrece un fuerte compromiso con las ayudas y becas para apoyar a los estudiantes que lo necesiten.</t>
  </si>
  <si>
    <t>Responde de forma coherente cuando el usuario concreta Medicina.</t>
  </si>
  <si>
    <t>Estudiar en la Universidad CEU San Pablo te ofrece una formación integral con más de 90 años de experiencia en educación superior. Contamos con un prestigioso claustro de profesores comprometidos y una relación estrecha con empresas para facilitar tus prácticas y futuro empleo. Además, apostamos por la formación en valores y una visión internacional que te prepara para retos laborales nacionales e internacionales. Si quieres, puedo ayudarte con información sobre la oferta académica, becas o el proceso de admisión. ¿Te interesa alguna de estas opciones?</t>
  </si>
  <si>
    <t>Respuesta natural para una intención general de estudiar en el CEU; pide orientación.</t>
  </si>
  <si>
    <t>La Universidad CEU San Pablo ofrece el Grado en Medicina, con más de 50 años de experiencia formando profesionales comprometidos. La formación combina aspectos científicos, técnicos, culturales y valores humanos, impartida por un claustro de profesores expertos. Desde el primer curso realizarás prácticas en laboratorios con tecnología avanzada, y a partir del tercer año te incorporarás a hospitales públicos y privados de referencia, para desarrollar habilidades técnicas, humanas y un perfil profesional con autonomía y liderazgo. El grado prepara para diversas salidas profesionales, incluyendo la práctica clínica en sanidad pública y privada, investigación básica y clínica, docencia, gestión sanitaria y hospitalaria, además del acceso a especialidades mediante el programa MIR. También ofrece oportunidades en sanidad militar y voluntariado en organizaciones. Además, la universidad cuenta con la acreditación internacional WSCUC/WASC (2025-2031), que confirma la calidad de la institución.</t>
  </si>
  <si>
    <t>El usuario indicó interés general en salud; responde solo con Medicina y no orienta hacia otras áreas sanitarias disponibles.</t>
  </si>
  <si>
    <t>En la Universidad CEU San Pablo hay varias facultades, entre ellas la Facultad de Derecho, la Facultad de Humanidades y Ciencias de la Comunicación, y la Facultad de Ciencias Económicas y Empresariales. Cada una ofrece programas orientados a preparar a los alumnos para el mundo profesional con formación integral y actividades complementarias.</t>
  </si>
  <si>
    <t>Entiende la pregunta con errores tipográficos, pero la lista de facultades queda incompleta.</t>
  </si>
  <si>
    <t>No dispongo de información completa sobre todas las facultades de la Universidad CEU San Pablo en los fragmentos proporcionados. Solo se menciona la Facultad de Ciencias Económicas y Empresariales, pero no se especifican las demás facultades. Si quieres, puedo ayudarte con otra consulta o puedes visitar la web oficial para más detalles.</t>
  </si>
  <si>
    <t>Ante “seguro?” se contradice y pierde el contexto de facultades; debería mantener una respuesta coherente.</t>
  </si>
  <si>
    <t>En la Universidad CEU San Pablo, algunos de los grados relacionados con ingeniería que ofrecemos son: - Ingeniería Biomédica, que combina la ingeniería con el ámbito de la salud y se imparte en modalidad bilingüe (español-inglés). - Ingeniería de Sistemas de Información, que también puede combinarse en un doble grado con Administración y Dirección de Empresas. - Ingeniería Matemática y Física, vinculadas a menciones en Inteligencia Artificial. Si quieres, puedo darte más información sobre alguna de estas titulaciones o sobre otras ingenierías disponibles.</t>
  </si>
  <si>
    <t>Robusto ante escritura informal, pero la lista de grados de ingeniería es incompleta.</t>
  </si>
  <si>
    <t>Detecta correctamente la intención de precios pese al formato informal.</t>
  </si>
  <si>
    <t>Detecta correctamente la intención de admisión.</t>
  </si>
  <si>
    <t>Comportamiento consistente en web: pide concreción para pregunta global.</t>
  </si>
  <si>
    <t>Los grados en Ingeniería que se ofrecen en la Universidad CEU San Pablo son: 1. Grado en Ingeniería Biomédica 2. Grado en Ingeniería de Sistemas de Información 3. Grado en Ingeniería Matemática 4. Grado en Ingeniería de Sistemas de Telecomunicación Además, hay dobles grados que combinan Ingeniería con otras disciplinas: 5. Doble Grado en Ingeniería de Sistemas de Información + Administración y Dirección de Empresas 6. Doble Grado en Ingeniería Matemática + Física 7. Doble Grado en Ingeniería Biomédica + Ingeniería de Sistemas de Telecomunicación</t>
  </si>
  <si>
    <t>Mantiene la sesión web, pero mezcla grados y dobles grados y omite parte de la oferta de ingeniería.</t>
  </si>
  <si>
    <t>La Universidad CEU San Pablo ofrece varios dobles grados en el área de Ingeniería, entre ellos: 1. Doble Grado en Ingeniería de Sistemas de Información + Administración y Dirección de Empresas (ADE): - Combina conocimientos económicos y empresariales con tecnología informática. - Dura cinco años. - Formación práctica en finanzas, economía, marketing y desarrollo de sistemas informáticos. - Clases en grupos reducidos en la Escuela Politécnica Superior en el campus de Montepríncipe. - Laboratorios e instalaciones equipados para prácticas desde el inicio. - Posibilidad de realizar una Doble Titulación Internacional en colaboración con universidades extranjeras. 2. Doble Grado en Ingeniería Matemática + Física: - Une matemáticas y física con enfoque interdisciplinario. - Prepara para innovar en campos como energía, medicina, informática y más. - Fomenta pensamiento crítico, resolución creativa de problemas y liderazgo. - Salidas profesionales en banca, finanzas, inteligencia de negocios, seguros y consultoría financiera. Ambos programas ofrecen formación sólida y práctica en sus respectivas áreas y opciones internacionales para complementar los estudios.</t>
  </si>
  <si>
    <t>Entiende el follow-up sobre dobles grados, pero solo enumera/desarrolla dos y no todos los dobles grados de ingeniería.</t>
  </si>
  <si>
    <t>La Universidad CEU San Pablo tiene dos campus: 1. Campus Moncloa, ubicado en la Calle Julián Romea, 18, Madrid, código postal 28003. 2. Campus Montepríncipe, situado en la Avenida de Montepríncipe, s/n, Boadilla del Monte, código postal 28668.</t>
  </si>
  <si>
    <t>Respuesta correcta y estructurada sobre campus.</t>
  </si>
  <si>
    <t>El campus de Medicina de la Universidad CEU San Pablo está ubicado en Montepríncipe, Madrid.</t>
  </si>
  <si>
    <t>Mantiene el contexto y responde correctamente.</t>
  </si>
  <si>
    <t>En la Universidad CEU San Pablo, las opciones de idioma para los grados que mencionas son las siguientes: - Farmacia: se ofrece en dos modalidades, completamente en español o bilingüe, donde algunos créditos se imparten en español y otros en inglés. - Medicina y Fisioterapia: no hay información disponible en los fragmentos proporcionados sobre las opciones de idioma para estos grados. Si necesitas detalles específicos sobre Medicina o Fisioterapia, puedo ayudarte cuando dispongamos de esa información.</t>
  </si>
  <si>
    <t>La respuesta está estructurada, pero falla al no recuperar idiomas de Medicina y Fisioterapia.</t>
  </si>
  <si>
    <t>Claro, en la Universidad CEU San Pablo ofrecemos varios dobles grados de ingeniería que combinan diferentes áreas para ampliar tu formación y oportunidades profesionales: 1. Ingeniería Biomédica + Ingeniería de Sistemas de Telecomunicación - Este doble grado es bilingüe y une la ingeniería orientada a aplicaciones médicas con sistemas de telecomunicación, ideal si te interesan ambas tecnologías. 2. Ingeniería de Sistemas de Información + Administración y Dirección de Empresas (ADE) - Se cursa íntegramente en la Escuela Politécnica Superior. Combina la ingeniería informática con la gestión empresarial para formar profesionales capaces de gestionar proyectos tecnológicos y empresariales. 3. Arte Digital + Ingeniería en Tecnologías para Animación y Videojuegos - Se imparte en español y une la creatividad artística con las tecnologías para desarrollo de animación y videojuegos, útil para perfiles muy creativos y técnicos. 4. Ingeniería Matemática + Ciencia e Ingeniería de Datos - Ofrecido en español, combina matemáticas aplicadas con ciencia de datos para formar expertos en análisis y modelado de información. 5. Ciencia e Ingeniería de Datos + Ingeniería de Sistemas de Información - En inglés, une la ingeniería informática con la ciencia de datos, preparando para trabajos en análisis avanzado, programación y gestión de datos. 6. Ingeniería Matemática + Física - Se imparte en español y combina dos campos fundamentales de la ingeniería y la ciencia para abordar problemas complejos en ambos ámbitos. Estos dobles grados aportan una formación multidisciplinar que te prepara para múltiples salidas profesionales en ingeniería, tecnología, ciencia de datos y gestión.</t>
  </si>
  <si>
    <t>Lista y explica los dobles grados de ingeniería de forma estructurada.</t>
  </si>
  <si>
    <t>RESUMEN DE EVALUACIÓN</t>
  </si>
  <si>
    <t>Total de casos evaluados</t>
  </si>
  <si>
    <t>Correctos</t>
  </si>
  <si>
    <t>Parciales</t>
  </si>
  <si>
    <t>Incorrectos</t>
  </si>
  <si>
    <t>Tasa de acierto estricta</t>
  </si>
  <si>
    <t>Tasa de acierto flexible</t>
  </si>
  <si>
    <t>Puntuación ponderada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</si>
</sst>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rgb="FF006100"/>
      <name val="Aptos Narrow"/>
      <family val="2"/>
      <scheme val="minor"/>
    </font>
  </fonts>
  <fills count="3">
    <fill>
      <patternFill patternType="none"/>
    </fill>
    <fill>
      <patternFill patternType="gray125"/>
    </fill>
    <fill>
      <patternFill patternType="solid">
        <fgColor rgb="FFC6EFCE"/>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3">
    <xf numFmtId="0" fontId="0" fillId="0" borderId="0" xfId="0"/>
    <xf numFmtId="9" fontId="0" fillId="0" borderId="0" xfId="0" applyNumberFormat="1"/>
    <xf numFmtId="9" fontId="1" fillId="2" borderId="0" xfId="1" applyNumberFormat="1"/>
  </cellXfs>
  <cellStyles count="2">
    <cellStyle name="Bueno"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A05E1D9-445E-48BC-8CAE-D7FDB15FA3A0}" name="Tabla3" displayName="Tabla3" ref="A1:G13" totalsRowShown="0">
  <autoFilter ref="A1:G13" xr:uid="{EA05E1D9-445E-48BC-8CAE-D7FDB15FA3A0}"/>
  <tableColumns count="7">
    <tableColumn id="1" xr3:uid="{5BE99CB9-CC47-4A2F-A129-8841473A3AD8}" name="id"/>
    <tableColumn id="2" xr3:uid="{2D25A340-A51D-4C50-B5BA-F6650B658B96}" name="tipo_pregunta"/>
    <tableColumn id="3" xr3:uid="{5FE96DBB-9B56-4944-9838-D57E918B1F23}" name="pregunta"/>
    <tableColumn id="4" xr3:uid="{D4FE14A0-0A93-4C84-B7B7-813450A7AE8B}" name="respuesta_esperada"/>
    <tableColumn id="5" xr3:uid="{FBA49B7F-99CF-4AE8-8CB3-5022FCF395BB}" name="respuesta_modelo"/>
    <tableColumn id="6" xr3:uid="{8B1D9CDD-9B65-4805-BBF4-1D39A6D2A7CA}" name="correcta (si/no)"/>
    <tableColumn id="7" xr3:uid="{330C8C8A-28D7-43DF-BF18-3729A3FE150B}" name="comentari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8F68B5-0CD2-4ADE-9132-F0E185413F2B}" name="Tabla1" displayName="Tabla1" ref="A2:I12" totalsRowShown="0">
  <autoFilter ref="A2:I12" xr:uid="{4E8F68B5-0CD2-4ADE-9132-F0E185413F2B}"/>
  <tableColumns count="9">
    <tableColumn id="1" xr3:uid="{E02DA358-A287-40B9-89D4-6EEB019315F2}" name="id_conversacion"/>
    <tableColumn id="2" xr3:uid="{B78485A9-537D-4536-84AF-4674AC4FC722}" name="turno"/>
    <tableColumn id="3" xr3:uid="{CAADC7AF-ECF8-4323-B3D6-6B2A9980C712}" name="session_id"/>
    <tableColumn id="4" xr3:uid="{A8CF60D8-1FCE-4484-93BD-1DDB05A21108}" name="mensaje_usuario"/>
    <tableColumn id="5" xr3:uid="{2C2A381D-1CF9-4E40-8970-805B831466FA}" name="respuesta_modelo"/>
    <tableColumn id="6" xr3:uid="{96FA97E0-2F14-4915-BFE6-22FF51EAAFED}" name="respuesta_esperada"/>
    <tableColumn id="7" xr3:uid="{1A8628C3-17DF-491C-BCFA-E06B7C9E6169}" name="correcta"/>
    <tableColumn id="8" xr3:uid="{A255510C-4FF2-4132-9EB9-3D490C3CE69E}" name="tipo_error"/>
    <tableColumn id="9" xr3:uid="{24016A96-7BC8-496B-83D1-0B5162DA17FC}" name="comentari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368FFE8-EC8D-45A6-909A-A3CD7CD36A59}" name="Tabla2" displayName="Tabla2" ref="A22:I28" totalsRowShown="0">
  <autoFilter ref="A22:I28" xr:uid="{8368FFE8-EC8D-45A6-909A-A3CD7CD36A59}"/>
  <tableColumns count="9">
    <tableColumn id="1" xr3:uid="{ADFE0713-B44A-440E-BC15-315EFEFC2E1D}" name="id_conversacion"/>
    <tableColumn id="2" xr3:uid="{DC577113-0E20-4AAE-BEE4-9D0B85A6A8D8}" name="turno"/>
    <tableColumn id="3" xr3:uid="{BB03DFD3-1693-464F-A072-8C2C8EDEE8BB}" name="session_id"/>
    <tableColumn id="4" xr3:uid="{82686C7B-110B-480A-88A0-F73C7C67834E}" name="mensaje_usuario"/>
    <tableColumn id="5" xr3:uid="{494D5156-82FB-4EF1-A46E-FB97931E94B4}" name="respuesta_modelo"/>
    <tableColumn id="6" xr3:uid="{D7298BE9-11C6-4DF0-B0C3-2C02D34A8E35}" name="respuesta_esperada"/>
    <tableColumn id="7" xr3:uid="{858CB4C8-6921-45E8-A9C6-C590FD147E6F}" name="correcta"/>
    <tableColumn id="8" xr3:uid="{AAA913C6-8179-48E0-AE0C-F7CBB25F3F21}" name="tipo_error"/>
    <tableColumn id="9" xr3:uid="{E9F5136C-0EA7-49D6-8FC1-E8E7074A1D21}" name="comentario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567D76C-31F2-430B-BAF7-B75B1E80A20A}" name="Tabla4" displayName="Tabla4" ref="A1:K51" totalsRowShown="0">
  <autoFilter ref="A1:K51" xr:uid="{F567D76C-31F2-430B-BAF7-B75B1E80A20A}"/>
  <tableColumns count="11">
    <tableColumn id="1" xr3:uid="{74EDFC4B-D431-4902-8DDD-5DFF9C781452}" name="id"/>
    <tableColumn id="2" xr3:uid="{B9AB4687-58FB-40AC-AB63-A26C9926BDA7}" name="canal"/>
    <tableColumn id="3" xr3:uid="{7F4ED6AC-83F8-4AAD-B90E-B44C483D52C8}" name="tipo_prueba"/>
    <tableColumn id="4" xr3:uid="{DC37912F-5E61-4D6C-ACD7-E7ACB2F9D714}" name="session_id"/>
    <tableColumn id="5" xr3:uid="{FA8C0214-BD97-4DB0-A7C3-B912EB2998B7}" name="turno"/>
    <tableColumn id="6" xr3:uid="{24C057CE-E6CE-4758-BEEC-5B27C49C47FF}" name="mensaje_usuario"/>
    <tableColumn id="7" xr3:uid="{0409E8E4-AAD7-446F-B560-906EFB9441FD}" name="respuesta_esperada"/>
    <tableColumn id="8" xr3:uid="{91F5E7E0-93B9-43BF-910D-CBD6B0E53AB9}" name="criterio_correcto"/>
    <tableColumn id="9" xr3:uid="{32E69B62-C280-4B98-B6FE-E9BC8EB4BE2D}" name="respuesta obtenida"/>
    <tableColumn id="10" xr3:uid="{CD9E83DB-7F6B-4F49-AE01-4609937E55DD}" name="correcta/parcial/incorrecta"/>
    <tableColumn id="11" xr3:uid="{2C110BF6-3B19-44C8-86FF-8ADBF233FD8E}" name="comentarios"/>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29466-1CA5-4066-B445-9545B563B5F6}">
  <dimension ref="A1:G13"/>
  <sheetViews>
    <sheetView workbookViewId="0">
      <selection activeCell="D29" sqref="D29"/>
    </sheetView>
  </sheetViews>
  <sheetFormatPr baseColWidth="10" defaultRowHeight="14.5" x14ac:dyDescent="0.35"/>
  <cols>
    <col min="2" max="2" width="15.36328125" bestFit="1" customWidth="1"/>
    <col min="3" max="3" width="29" bestFit="1" customWidth="1"/>
    <col min="4" max="4" width="143.08984375" customWidth="1"/>
    <col min="5" max="5" width="198.7265625" customWidth="1"/>
    <col min="6" max="6" width="16" customWidth="1"/>
    <col min="7" max="7" width="13.54296875" customWidth="1"/>
  </cols>
  <sheetData>
    <row r="1" spans="1:7" x14ac:dyDescent="0.35">
      <c r="A1" t="s">
        <v>0</v>
      </c>
      <c r="B1" t="s">
        <v>1</v>
      </c>
      <c r="C1" t="s">
        <v>2</v>
      </c>
      <c r="D1" t="s">
        <v>3</v>
      </c>
      <c r="E1" t="s">
        <v>4</v>
      </c>
      <c r="F1" t="s">
        <v>5</v>
      </c>
      <c r="G1" t="s">
        <v>6</v>
      </c>
    </row>
    <row r="2" spans="1:7" x14ac:dyDescent="0.35">
      <c r="A2">
        <v>1</v>
      </c>
      <c r="B2" t="s">
        <v>10</v>
      </c>
      <c r="C2" t="s">
        <v>7</v>
      </c>
      <c r="D2" t="s">
        <v>23</v>
      </c>
      <c r="E2" t="s">
        <v>35</v>
      </c>
      <c r="F2" t="s">
        <v>24</v>
      </c>
      <c r="G2" t="s">
        <v>26</v>
      </c>
    </row>
    <row r="3" spans="1:7" x14ac:dyDescent="0.35">
      <c r="A3">
        <v>2</v>
      </c>
      <c r="B3" t="s">
        <v>10</v>
      </c>
      <c r="C3" t="s">
        <v>8</v>
      </c>
      <c r="D3" t="s">
        <v>25</v>
      </c>
      <c r="E3" t="s">
        <v>36</v>
      </c>
      <c r="F3" t="s">
        <v>24</v>
      </c>
      <c r="G3" t="s">
        <v>26</v>
      </c>
    </row>
    <row r="4" spans="1:7" x14ac:dyDescent="0.35">
      <c r="A4">
        <v>3</v>
      </c>
      <c r="B4" t="s">
        <v>10</v>
      </c>
      <c r="C4" t="s">
        <v>9</v>
      </c>
      <c r="D4" t="s">
        <v>27</v>
      </c>
      <c r="E4" t="s">
        <v>37</v>
      </c>
      <c r="F4" t="s">
        <v>24</v>
      </c>
      <c r="G4" t="s">
        <v>26</v>
      </c>
    </row>
    <row r="5" spans="1:7" x14ac:dyDescent="0.35">
      <c r="A5">
        <v>4</v>
      </c>
      <c r="B5" t="s">
        <v>11</v>
      </c>
      <c r="C5" t="s">
        <v>12</v>
      </c>
      <c r="D5" t="s">
        <v>28</v>
      </c>
      <c r="E5" t="s">
        <v>38</v>
      </c>
      <c r="F5" t="s">
        <v>24</v>
      </c>
      <c r="G5" t="s">
        <v>26</v>
      </c>
    </row>
    <row r="6" spans="1:7" x14ac:dyDescent="0.35">
      <c r="A6">
        <v>5</v>
      </c>
      <c r="B6" t="s">
        <v>11</v>
      </c>
      <c r="C6" t="s">
        <v>13</v>
      </c>
      <c r="D6" t="s">
        <v>29</v>
      </c>
      <c r="E6" t="s">
        <v>39</v>
      </c>
      <c r="F6" t="s">
        <v>24</v>
      </c>
      <c r="G6" t="s">
        <v>47</v>
      </c>
    </row>
    <row r="7" spans="1:7" x14ac:dyDescent="0.35">
      <c r="A7">
        <v>6</v>
      </c>
      <c r="B7" t="s">
        <v>11</v>
      </c>
      <c r="C7" t="s">
        <v>14</v>
      </c>
      <c r="D7" t="s">
        <v>30</v>
      </c>
      <c r="E7" t="s">
        <v>40</v>
      </c>
      <c r="F7" t="s">
        <v>24</v>
      </c>
      <c r="G7" t="s">
        <v>26</v>
      </c>
    </row>
    <row r="8" spans="1:7" x14ac:dyDescent="0.35">
      <c r="A8">
        <v>7</v>
      </c>
      <c r="B8" t="s">
        <v>15</v>
      </c>
      <c r="C8" t="s">
        <v>16</v>
      </c>
      <c r="D8" t="s">
        <v>31</v>
      </c>
      <c r="E8" t="s">
        <v>41</v>
      </c>
      <c r="F8" t="s">
        <v>48</v>
      </c>
      <c r="G8" t="s">
        <v>51</v>
      </c>
    </row>
    <row r="9" spans="1:7" x14ac:dyDescent="0.35">
      <c r="A9">
        <v>8</v>
      </c>
      <c r="B9" t="s">
        <v>15</v>
      </c>
      <c r="C9" t="s">
        <v>17</v>
      </c>
      <c r="D9" t="s">
        <v>31</v>
      </c>
      <c r="E9" t="s">
        <v>42</v>
      </c>
      <c r="F9" t="s">
        <v>48</v>
      </c>
      <c r="G9" t="s">
        <v>50</v>
      </c>
    </row>
    <row r="10" spans="1:7" x14ac:dyDescent="0.35">
      <c r="A10">
        <v>9</v>
      </c>
      <c r="B10" t="s">
        <v>15</v>
      </c>
      <c r="C10" t="s">
        <v>18</v>
      </c>
      <c r="D10" t="s">
        <v>32</v>
      </c>
      <c r="E10" t="s">
        <v>43</v>
      </c>
      <c r="F10" t="s">
        <v>24</v>
      </c>
      <c r="G10" t="s">
        <v>49</v>
      </c>
    </row>
    <row r="11" spans="1:7" x14ac:dyDescent="0.35">
      <c r="A11">
        <v>10</v>
      </c>
      <c r="B11" t="s">
        <v>19</v>
      </c>
      <c r="C11" t="s">
        <v>20</v>
      </c>
      <c r="D11" t="s">
        <v>33</v>
      </c>
      <c r="E11" t="s">
        <v>44</v>
      </c>
      <c r="F11" t="s">
        <v>24</v>
      </c>
      <c r="G11" t="s">
        <v>26</v>
      </c>
    </row>
    <row r="12" spans="1:7" x14ac:dyDescent="0.35">
      <c r="A12">
        <v>11</v>
      </c>
      <c r="B12" t="s">
        <v>19</v>
      </c>
      <c r="C12" t="s">
        <v>21</v>
      </c>
      <c r="D12" t="s">
        <v>33</v>
      </c>
      <c r="E12" t="s">
        <v>45</v>
      </c>
      <c r="F12" t="s">
        <v>24</v>
      </c>
      <c r="G12" t="s">
        <v>26</v>
      </c>
    </row>
    <row r="13" spans="1:7" x14ac:dyDescent="0.35">
      <c r="A13">
        <v>12</v>
      </c>
      <c r="B13" t="s">
        <v>19</v>
      </c>
      <c r="C13" t="s">
        <v>22</v>
      </c>
      <c r="D13" t="s">
        <v>34</v>
      </c>
      <c r="E13" t="s">
        <v>46</v>
      </c>
      <c r="F13" t="s">
        <v>24</v>
      </c>
      <c r="G13" t="s">
        <v>26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B093A-8D6A-408C-9E21-DFA844659EE0}">
  <dimension ref="A1:I35"/>
  <sheetViews>
    <sheetView workbookViewId="0">
      <selection activeCell="E40" sqref="E40"/>
    </sheetView>
  </sheetViews>
  <sheetFormatPr baseColWidth="10" defaultRowHeight="14.5" x14ac:dyDescent="0.35"/>
  <cols>
    <col min="1" max="1" width="15.6328125" customWidth="1"/>
    <col min="2" max="2" width="6.26953125" customWidth="1"/>
    <col min="3" max="3" width="11.90625" customWidth="1"/>
    <col min="4" max="4" width="17.453125" customWidth="1"/>
    <col min="5" max="5" width="53.26953125" bestFit="1" customWidth="1"/>
    <col min="6" max="6" width="72.08984375" bestFit="1" customWidth="1"/>
    <col min="8" max="8" width="11.08984375" customWidth="1"/>
    <col min="9" max="9" width="56" bestFit="1" customWidth="1"/>
  </cols>
  <sheetData>
    <row r="1" spans="1:9" ht="15.5" customHeight="1" x14ac:dyDescent="0.35">
      <c r="A1" t="s">
        <v>100</v>
      </c>
    </row>
    <row r="2" spans="1:9" x14ac:dyDescent="0.35">
      <c r="A2" t="s">
        <v>61</v>
      </c>
      <c r="B2" t="s">
        <v>62</v>
      </c>
      <c r="C2" t="s">
        <v>63</v>
      </c>
      <c r="D2" t="s">
        <v>64</v>
      </c>
      <c r="E2" t="s">
        <v>4</v>
      </c>
      <c r="F2" t="s">
        <v>3</v>
      </c>
      <c r="G2" t="s">
        <v>26</v>
      </c>
      <c r="H2" t="s">
        <v>65</v>
      </c>
      <c r="I2" t="s">
        <v>6</v>
      </c>
    </row>
    <row r="3" spans="1:9" x14ac:dyDescent="0.35">
      <c r="A3" t="s">
        <v>52</v>
      </c>
      <c r="B3">
        <v>1</v>
      </c>
      <c r="C3" t="s">
        <v>52</v>
      </c>
      <c r="D3" t="s">
        <v>16</v>
      </c>
      <c r="E3" t="s">
        <v>66</v>
      </c>
      <c r="F3" t="s">
        <v>67</v>
      </c>
      <c r="G3" t="s">
        <v>24</v>
      </c>
      <c r="H3" t="s">
        <v>68</v>
      </c>
      <c r="I3" t="s">
        <v>69</v>
      </c>
    </row>
    <row r="4" spans="1:9" x14ac:dyDescent="0.35">
      <c r="A4" t="s">
        <v>52</v>
      </c>
      <c r="B4">
        <v>2</v>
      </c>
      <c r="C4" t="s">
        <v>52</v>
      </c>
      <c r="D4" t="s">
        <v>54</v>
      </c>
      <c r="E4" t="s">
        <v>70</v>
      </c>
      <c r="F4" t="s">
        <v>71</v>
      </c>
      <c r="G4" t="s">
        <v>72</v>
      </c>
      <c r="H4" t="s">
        <v>73</v>
      </c>
      <c r="I4" t="s">
        <v>74</v>
      </c>
    </row>
    <row r="5" spans="1:9" x14ac:dyDescent="0.35">
      <c r="A5" t="s">
        <v>53</v>
      </c>
      <c r="B5">
        <v>1</v>
      </c>
      <c r="C5" t="s">
        <v>53</v>
      </c>
      <c r="D5" t="s">
        <v>8</v>
      </c>
      <c r="E5" t="s">
        <v>75</v>
      </c>
      <c r="F5" t="s">
        <v>76</v>
      </c>
      <c r="G5" t="s">
        <v>24</v>
      </c>
      <c r="H5" t="s">
        <v>68</v>
      </c>
      <c r="I5" t="s">
        <v>69</v>
      </c>
    </row>
    <row r="6" spans="1:9" x14ac:dyDescent="0.35">
      <c r="A6" t="s">
        <v>53</v>
      </c>
      <c r="B6">
        <v>2</v>
      </c>
      <c r="C6" t="s">
        <v>53</v>
      </c>
      <c r="D6" t="s">
        <v>55</v>
      </c>
      <c r="E6" t="s">
        <v>77</v>
      </c>
      <c r="F6" t="s">
        <v>78</v>
      </c>
      <c r="G6" t="s">
        <v>24</v>
      </c>
      <c r="H6" t="s">
        <v>68</v>
      </c>
      <c r="I6" t="s">
        <v>79</v>
      </c>
    </row>
    <row r="7" spans="1:9" x14ac:dyDescent="0.35">
      <c r="A7" t="s">
        <v>56</v>
      </c>
      <c r="B7">
        <v>1</v>
      </c>
      <c r="C7" t="s">
        <v>56</v>
      </c>
      <c r="D7" t="s">
        <v>13</v>
      </c>
      <c r="E7" t="s">
        <v>66</v>
      </c>
      <c r="F7" t="s">
        <v>80</v>
      </c>
      <c r="G7" t="s">
        <v>24</v>
      </c>
      <c r="H7" t="s">
        <v>68</v>
      </c>
      <c r="I7" t="s">
        <v>69</v>
      </c>
    </row>
    <row r="8" spans="1:9" x14ac:dyDescent="0.35">
      <c r="A8" t="s">
        <v>56</v>
      </c>
      <c r="B8">
        <v>2</v>
      </c>
      <c r="C8" t="s">
        <v>56</v>
      </c>
      <c r="D8" t="s">
        <v>57</v>
      </c>
      <c r="E8" t="s">
        <v>81</v>
      </c>
      <c r="F8" t="s">
        <v>82</v>
      </c>
      <c r="G8" t="s">
        <v>48</v>
      </c>
      <c r="H8" t="s">
        <v>83</v>
      </c>
      <c r="I8" t="s">
        <v>84</v>
      </c>
    </row>
    <row r="9" spans="1:9" x14ac:dyDescent="0.35">
      <c r="A9" t="s">
        <v>58</v>
      </c>
      <c r="B9">
        <v>1</v>
      </c>
      <c r="C9" t="s">
        <v>58</v>
      </c>
      <c r="D9" t="s">
        <v>9</v>
      </c>
      <c r="E9" t="s">
        <v>85</v>
      </c>
      <c r="F9" t="s">
        <v>86</v>
      </c>
      <c r="G9" t="s">
        <v>24</v>
      </c>
      <c r="H9" t="s">
        <v>68</v>
      </c>
      <c r="I9" t="s">
        <v>69</v>
      </c>
    </row>
    <row r="10" spans="1:9" x14ac:dyDescent="0.35">
      <c r="A10" t="s">
        <v>58</v>
      </c>
      <c r="B10">
        <v>2</v>
      </c>
      <c r="C10" t="s">
        <v>58</v>
      </c>
      <c r="D10" t="s">
        <v>59</v>
      </c>
      <c r="E10" t="s">
        <v>87</v>
      </c>
      <c r="F10" t="s">
        <v>88</v>
      </c>
      <c r="G10" t="s">
        <v>48</v>
      </c>
      <c r="H10" t="s">
        <v>83</v>
      </c>
      <c r="I10" t="s">
        <v>89</v>
      </c>
    </row>
    <row r="11" spans="1:9" x14ac:dyDescent="0.35">
      <c r="A11" t="s">
        <v>60</v>
      </c>
      <c r="B11">
        <v>1</v>
      </c>
      <c r="C11" t="s">
        <v>60</v>
      </c>
      <c r="D11" t="s">
        <v>7</v>
      </c>
      <c r="E11" t="s">
        <v>90</v>
      </c>
      <c r="F11" t="s">
        <v>86</v>
      </c>
      <c r="G11" t="s">
        <v>24</v>
      </c>
      <c r="H11" t="s">
        <v>68</v>
      </c>
      <c r="I11" t="s">
        <v>69</v>
      </c>
    </row>
    <row r="12" spans="1:9" x14ac:dyDescent="0.35">
      <c r="A12" t="s">
        <v>60</v>
      </c>
      <c r="B12">
        <v>2</v>
      </c>
      <c r="C12" t="s">
        <v>60</v>
      </c>
      <c r="D12" t="s">
        <v>91</v>
      </c>
      <c r="E12" t="s">
        <v>92</v>
      </c>
      <c r="F12" t="s">
        <v>93</v>
      </c>
      <c r="G12" t="s">
        <v>48</v>
      </c>
      <c r="H12" t="s">
        <v>83</v>
      </c>
      <c r="I12" t="s">
        <v>94</v>
      </c>
    </row>
    <row r="14" spans="1:9" x14ac:dyDescent="0.35">
      <c r="A14" t="s">
        <v>95</v>
      </c>
    </row>
    <row r="15" spans="1:9" x14ac:dyDescent="0.35">
      <c r="A15" t="s">
        <v>96</v>
      </c>
    </row>
    <row r="16" spans="1:9" x14ac:dyDescent="0.35">
      <c r="A16" t="s">
        <v>97</v>
      </c>
    </row>
    <row r="17" spans="1:9" x14ac:dyDescent="0.35">
      <c r="A17" t="s">
        <v>98</v>
      </c>
    </row>
    <row r="18" spans="1:9" x14ac:dyDescent="0.35">
      <c r="A18" t="s">
        <v>119</v>
      </c>
    </row>
    <row r="19" spans="1:9" x14ac:dyDescent="0.35">
      <c r="A19" t="s">
        <v>99</v>
      </c>
    </row>
    <row r="21" spans="1:9" x14ac:dyDescent="0.35">
      <c r="A21" t="s">
        <v>101</v>
      </c>
    </row>
    <row r="22" spans="1:9" x14ac:dyDescent="0.35">
      <c r="A22" t="s">
        <v>61</v>
      </c>
      <c r="B22" t="s">
        <v>62</v>
      </c>
      <c r="C22" t="s">
        <v>63</v>
      </c>
      <c r="D22" t="s">
        <v>64</v>
      </c>
      <c r="E22" t="s">
        <v>4</v>
      </c>
      <c r="F22" t="s">
        <v>3</v>
      </c>
      <c r="G22" t="s">
        <v>26</v>
      </c>
      <c r="H22" t="s">
        <v>65</v>
      </c>
      <c r="I22" t="s">
        <v>6</v>
      </c>
    </row>
    <row r="23" spans="1:9" x14ac:dyDescent="0.35">
      <c r="A23" t="s">
        <v>102</v>
      </c>
      <c r="B23">
        <v>1</v>
      </c>
      <c r="C23" t="s">
        <v>102</v>
      </c>
      <c r="D23" t="s">
        <v>16</v>
      </c>
      <c r="E23" t="s">
        <v>66</v>
      </c>
      <c r="F23" t="s">
        <v>67</v>
      </c>
      <c r="G23" t="s">
        <v>24</v>
      </c>
      <c r="H23" t="s">
        <v>68</v>
      </c>
      <c r="I23" t="s">
        <v>69</v>
      </c>
    </row>
    <row r="24" spans="1:9" x14ac:dyDescent="0.35">
      <c r="A24" t="s">
        <v>102</v>
      </c>
      <c r="B24">
        <v>2</v>
      </c>
      <c r="C24" t="s">
        <v>102</v>
      </c>
      <c r="D24" t="s">
        <v>103</v>
      </c>
      <c r="E24" t="s">
        <v>70</v>
      </c>
      <c r="F24" t="s">
        <v>104</v>
      </c>
      <c r="G24" t="s">
        <v>24</v>
      </c>
      <c r="H24" t="s">
        <v>68</v>
      </c>
      <c r="I24" t="s">
        <v>105</v>
      </c>
    </row>
    <row r="25" spans="1:9" x14ac:dyDescent="0.35">
      <c r="A25" t="s">
        <v>106</v>
      </c>
      <c r="B25">
        <v>1</v>
      </c>
      <c r="C25" t="s">
        <v>106</v>
      </c>
      <c r="D25" t="s">
        <v>13</v>
      </c>
      <c r="E25" t="s">
        <v>66</v>
      </c>
      <c r="F25" t="s">
        <v>107</v>
      </c>
      <c r="G25" t="s">
        <v>24</v>
      </c>
      <c r="H25" t="s">
        <v>68</v>
      </c>
      <c r="I25" t="s">
        <v>69</v>
      </c>
    </row>
    <row r="26" spans="1:9" x14ac:dyDescent="0.35">
      <c r="A26" t="s">
        <v>106</v>
      </c>
      <c r="B26">
        <v>2</v>
      </c>
      <c r="C26" t="s">
        <v>106</v>
      </c>
      <c r="D26" t="s">
        <v>103</v>
      </c>
      <c r="E26" t="s">
        <v>81</v>
      </c>
      <c r="F26" t="s">
        <v>108</v>
      </c>
      <c r="G26" t="s">
        <v>24</v>
      </c>
      <c r="H26" t="s">
        <v>68</v>
      </c>
      <c r="I26" t="s">
        <v>109</v>
      </c>
    </row>
    <row r="27" spans="1:9" x14ac:dyDescent="0.35">
      <c r="A27" t="s">
        <v>110</v>
      </c>
      <c r="B27">
        <v>1</v>
      </c>
      <c r="C27" t="s">
        <v>110</v>
      </c>
      <c r="D27" t="s">
        <v>9</v>
      </c>
      <c r="E27" t="s">
        <v>85</v>
      </c>
      <c r="F27" t="s">
        <v>86</v>
      </c>
      <c r="G27" t="s">
        <v>24</v>
      </c>
      <c r="H27" t="s">
        <v>68</v>
      </c>
      <c r="I27" t="s">
        <v>69</v>
      </c>
    </row>
    <row r="28" spans="1:9" x14ac:dyDescent="0.35">
      <c r="A28" t="s">
        <v>110</v>
      </c>
      <c r="B28">
        <v>2</v>
      </c>
      <c r="C28" t="s">
        <v>110</v>
      </c>
      <c r="D28" t="s">
        <v>111</v>
      </c>
      <c r="E28" t="s">
        <v>112</v>
      </c>
      <c r="F28" t="s">
        <v>113</v>
      </c>
      <c r="G28" t="s">
        <v>24</v>
      </c>
      <c r="H28" t="s">
        <v>68</v>
      </c>
      <c r="I28" t="s">
        <v>114</v>
      </c>
    </row>
    <row r="30" spans="1:9" x14ac:dyDescent="0.35">
      <c r="A30" t="s">
        <v>115</v>
      </c>
    </row>
    <row r="31" spans="1:9" x14ac:dyDescent="0.35">
      <c r="A31" t="s">
        <v>96</v>
      </c>
    </row>
    <row r="32" spans="1:9" x14ac:dyDescent="0.35">
      <c r="A32" t="s">
        <v>116</v>
      </c>
    </row>
    <row r="33" spans="1:1" x14ac:dyDescent="0.35">
      <c r="A33" t="s">
        <v>117</v>
      </c>
    </row>
    <row r="34" spans="1:1" x14ac:dyDescent="0.35">
      <c r="A34" t="s">
        <v>120</v>
      </c>
    </row>
    <row r="35" spans="1:1" x14ac:dyDescent="0.35">
      <c r="A35" t="s">
        <v>118</v>
      </c>
    </row>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EB236-8E4E-4D1A-B1C2-637F0E232569}">
  <dimension ref="A1:K60"/>
  <sheetViews>
    <sheetView tabSelected="1" zoomScale="70" zoomScaleNormal="70" workbookViewId="0">
      <selection activeCell="A53" sqref="A53"/>
    </sheetView>
  </sheetViews>
  <sheetFormatPr baseColWidth="10" defaultRowHeight="14.5" x14ac:dyDescent="0.35"/>
  <cols>
    <col min="1" max="1" width="22.90625" bestFit="1" customWidth="1"/>
    <col min="3" max="3" width="13" customWidth="1"/>
    <col min="4" max="4" width="11.90625" customWidth="1"/>
    <col min="6" max="6" width="48.08984375" customWidth="1"/>
    <col min="7" max="7" width="59.90625" customWidth="1"/>
    <col min="8" max="8" width="50.81640625" customWidth="1"/>
    <col min="9" max="9" width="75.08984375" customWidth="1"/>
    <col min="10" max="10" width="25.81640625" customWidth="1"/>
    <col min="11" max="11" width="43.1796875" customWidth="1"/>
  </cols>
  <sheetData>
    <row r="1" spans="1:11" x14ac:dyDescent="0.35">
      <c r="A1" t="s">
        <v>0</v>
      </c>
      <c r="B1" t="s">
        <v>121</v>
      </c>
      <c r="C1" t="s">
        <v>122</v>
      </c>
      <c r="D1" t="s">
        <v>63</v>
      </c>
      <c r="E1" t="s">
        <v>62</v>
      </c>
      <c r="F1" t="s">
        <v>64</v>
      </c>
      <c r="G1" t="s">
        <v>3</v>
      </c>
      <c r="H1" t="s">
        <v>123</v>
      </c>
      <c r="I1" t="s">
        <v>302</v>
      </c>
      <c r="J1" t="s">
        <v>124</v>
      </c>
      <c r="K1" t="s">
        <v>6</v>
      </c>
    </row>
    <row r="2" spans="1:11" x14ac:dyDescent="0.35">
      <c r="A2">
        <v>1</v>
      </c>
      <c r="B2" t="s">
        <v>125</v>
      </c>
      <c r="C2" t="s">
        <v>126</v>
      </c>
      <c r="D2" t="s">
        <v>127</v>
      </c>
      <c r="E2">
        <v>1</v>
      </c>
      <c r="F2" t="s">
        <v>128</v>
      </c>
      <c r="G2" t="s">
        <v>129</v>
      </c>
      <c r="H2" t="s">
        <v>130</v>
      </c>
      <c r="I2" t="s">
        <v>301</v>
      </c>
      <c r="J2" t="s">
        <v>303</v>
      </c>
      <c r="K2" t="s">
        <v>304</v>
      </c>
    </row>
    <row r="3" spans="1:11" x14ac:dyDescent="0.35">
      <c r="A3">
        <v>2</v>
      </c>
      <c r="B3" t="s">
        <v>125</v>
      </c>
      <c r="C3" t="s">
        <v>126</v>
      </c>
      <c r="D3" t="s">
        <v>127</v>
      </c>
      <c r="E3">
        <v>2</v>
      </c>
      <c r="F3" t="s">
        <v>131</v>
      </c>
      <c r="G3" t="s">
        <v>132</v>
      </c>
      <c r="H3" t="s">
        <v>133</v>
      </c>
      <c r="I3" t="s">
        <v>305</v>
      </c>
      <c r="J3" t="s">
        <v>303</v>
      </c>
      <c r="K3" t="s">
        <v>306</v>
      </c>
    </row>
    <row r="4" spans="1:11" x14ac:dyDescent="0.35">
      <c r="A4">
        <v>3</v>
      </c>
      <c r="B4" t="s">
        <v>125</v>
      </c>
      <c r="C4" t="s">
        <v>126</v>
      </c>
      <c r="D4" t="s">
        <v>127</v>
      </c>
      <c r="E4">
        <v>3</v>
      </c>
      <c r="F4" t="s">
        <v>134</v>
      </c>
      <c r="G4" t="s">
        <v>135</v>
      </c>
      <c r="H4" t="s">
        <v>136</v>
      </c>
      <c r="I4" t="s">
        <v>307</v>
      </c>
      <c r="J4" t="s">
        <v>303</v>
      </c>
      <c r="K4" t="s">
        <v>308</v>
      </c>
    </row>
    <row r="5" spans="1:11" x14ac:dyDescent="0.35">
      <c r="A5">
        <v>4</v>
      </c>
      <c r="B5" t="s">
        <v>125</v>
      </c>
      <c r="C5" t="s">
        <v>137</v>
      </c>
      <c r="D5" t="s">
        <v>138</v>
      </c>
      <c r="E5">
        <v>1</v>
      </c>
      <c r="F5" t="s">
        <v>139</v>
      </c>
      <c r="G5" t="s">
        <v>140</v>
      </c>
      <c r="H5" t="s">
        <v>141</v>
      </c>
      <c r="I5" t="s">
        <v>309</v>
      </c>
      <c r="J5" t="s">
        <v>303</v>
      </c>
      <c r="K5" t="s">
        <v>310</v>
      </c>
    </row>
    <row r="6" spans="1:11" x14ac:dyDescent="0.35">
      <c r="A6">
        <v>5</v>
      </c>
      <c r="B6" t="s">
        <v>125</v>
      </c>
      <c r="C6" t="s">
        <v>137</v>
      </c>
      <c r="D6" t="s">
        <v>138</v>
      </c>
      <c r="E6">
        <v>2</v>
      </c>
      <c r="F6" t="s">
        <v>142</v>
      </c>
      <c r="G6" t="s">
        <v>143</v>
      </c>
      <c r="H6" t="s">
        <v>144</v>
      </c>
      <c r="I6" t="s">
        <v>309</v>
      </c>
      <c r="J6" t="s">
        <v>303</v>
      </c>
      <c r="K6" t="s">
        <v>311</v>
      </c>
    </row>
    <row r="7" spans="1:11" x14ac:dyDescent="0.35">
      <c r="A7">
        <v>6</v>
      </c>
      <c r="B7" t="s">
        <v>125</v>
      </c>
      <c r="C7" t="s">
        <v>145</v>
      </c>
      <c r="D7" t="s">
        <v>146</v>
      </c>
      <c r="E7">
        <v>1</v>
      </c>
      <c r="F7" t="s">
        <v>147</v>
      </c>
      <c r="G7" t="s">
        <v>148</v>
      </c>
      <c r="H7" t="s">
        <v>149</v>
      </c>
      <c r="I7" t="s">
        <v>312</v>
      </c>
      <c r="J7" t="s">
        <v>303</v>
      </c>
      <c r="K7" t="s">
        <v>313</v>
      </c>
    </row>
    <row r="8" spans="1:11" x14ac:dyDescent="0.35">
      <c r="A8">
        <v>7</v>
      </c>
      <c r="B8" t="s">
        <v>125</v>
      </c>
      <c r="C8" t="s">
        <v>145</v>
      </c>
      <c r="D8" t="s">
        <v>146</v>
      </c>
      <c r="E8">
        <v>2</v>
      </c>
      <c r="F8" t="s">
        <v>150</v>
      </c>
      <c r="G8" t="s">
        <v>151</v>
      </c>
      <c r="H8" t="s">
        <v>152</v>
      </c>
      <c r="I8" t="s">
        <v>312</v>
      </c>
      <c r="J8" t="s">
        <v>303</v>
      </c>
      <c r="K8" t="s">
        <v>314</v>
      </c>
    </row>
    <row r="9" spans="1:11" x14ac:dyDescent="0.35">
      <c r="A9">
        <v>8</v>
      </c>
      <c r="B9" t="s">
        <v>125</v>
      </c>
      <c r="C9" t="s">
        <v>153</v>
      </c>
      <c r="D9" t="s">
        <v>154</v>
      </c>
      <c r="E9">
        <v>1</v>
      </c>
      <c r="F9" t="s">
        <v>155</v>
      </c>
      <c r="G9" t="s">
        <v>156</v>
      </c>
      <c r="H9" t="s">
        <v>157</v>
      </c>
      <c r="I9" t="s">
        <v>315</v>
      </c>
      <c r="J9" t="s">
        <v>303</v>
      </c>
      <c r="K9" t="s">
        <v>316</v>
      </c>
    </row>
    <row r="10" spans="1:11" x14ac:dyDescent="0.35">
      <c r="A10">
        <v>9</v>
      </c>
      <c r="B10" t="s">
        <v>125</v>
      </c>
      <c r="C10" t="s">
        <v>153</v>
      </c>
      <c r="D10" t="s">
        <v>154</v>
      </c>
      <c r="E10">
        <v>2</v>
      </c>
      <c r="F10" t="s">
        <v>158</v>
      </c>
      <c r="G10" t="s">
        <v>159</v>
      </c>
      <c r="H10" t="s">
        <v>160</v>
      </c>
      <c r="I10" t="s">
        <v>317</v>
      </c>
      <c r="J10" t="s">
        <v>303</v>
      </c>
      <c r="K10" t="s">
        <v>318</v>
      </c>
    </row>
    <row r="11" spans="1:11" x14ac:dyDescent="0.35">
      <c r="A11">
        <v>10</v>
      </c>
      <c r="B11" t="s">
        <v>125</v>
      </c>
      <c r="C11" t="s">
        <v>153</v>
      </c>
      <c r="D11" t="s">
        <v>154</v>
      </c>
      <c r="E11">
        <v>3</v>
      </c>
      <c r="F11" t="s">
        <v>161</v>
      </c>
      <c r="G11" t="s">
        <v>162</v>
      </c>
      <c r="H11" t="s">
        <v>163</v>
      </c>
      <c r="I11" t="s">
        <v>319</v>
      </c>
      <c r="J11" t="s">
        <v>303</v>
      </c>
      <c r="K11" t="s">
        <v>320</v>
      </c>
    </row>
    <row r="12" spans="1:11" x14ac:dyDescent="0.35">
      <c r="A12">
        <v>11</v>
      </c>
      <c r="B12" t="s">
        <v>125</v>
      </c>
      <c r="C12" t="s">
        <v>164</v>
      </c>
      <c r="D12" t="s">
        <v>165</v>
      </c>
      <c r="E12">
        <v>1</v>
      </c>
      <c r="F12" t="s">
        <v>16</v>
      </c>
      <c r="G12" t="s">
        <v>166</v>
      </c>
      <c r="H12" t="s">
        <v>167</v>
      </c>
      <c r="I12" t="s">
        <v>321</v>
      </c>
      <c r="J12" t="s">
        <v>303</v>
      </c>
      <c r="K12" t="s">
        <v>322</v>
      </c>
    </row>
    <row r="13" spans="1:11" x14ac:dyDescent="0.35">
      <c r="A13">
        <v>12</v>
      </c>
      <c r="B13" t="s">
        <v>125</v>
      </c>
      <c r="C13" t="s">
        <v>164</v>
      </c>
      <c r="D13" t="s">
        <v>165</v>
      </c>
      <c r="E13">
        <v>2</v>
      </c>
      <c r="F13" t="s">
        <v>54</v>
      </c>
      <c r="G13" t="s">
        <v>168</v>
      </c>
      <c r="H13" t="s">
        <v>169</v>
      </c>
      <c r="I13" t="s">
        <v>323</v>
      </c>
      <c r="J13" t="s">
        <v>324</v>
      </c>
      <c r="K13" t="s">
        <v>325</v>
      </c>
    </row>
    <row r="14" spans="1:11" x14ac:dyDescent="0.35">
      <c r="A14">
        <v>13</v>
      </c>
      <c r="B14" t="s">
        <v>125</v>
      </c>
      <c r="C14" t="s">
        <v>164</v>
      </c>
      <c r="D14" t="s">
        <v>170</v>
      </c>
      <c r="E14">
        <v>1</v>
      </c>
      <c r="F14" t="s">
        <v>171</v>
      </c>
      <c r="G14" t="s">
        <v>172</v>
      </c>
      <c r="H14" t="s">
        <v>173</v>
      </c>
      <c r="I14" t="s">
        <v>326</v>
      </c>
      <c r="J14" t="s">
        <v>303</v>
      </c>
      <c r="K14" t="s">
        <v>327</v>
      </c>
    </row>
    <row r="15" spans="1:11" x14ac:dyDescent="0.35">
      <c r="A15">
        <v>14</v>
      </c>
      <c r="B15" t="s">
        <v>125</v>
      </c>
      <c r="C15" t="s">
        <v>164</v>
      </c>
      <c r="D15" t="s">
        <v>174</v>
      </c>
      <c r="E15">
        <v>1</v>
      </c>
      <c r="F15" t="s">
        <v>175</v>
      </c>
      <c r="G15" t="s">
        <v>176</v>
      </c>
      <c r="H15" t="s">
        <v>177</v>
      </c>
      <c r="I15" t="s">
        <v>328</v>
      </c>
      <c r="J15" t="s">
        <v>303</v>
      </c>
      <c r="K15" t="s">
        <v>329</v>
      </c>
    </row>
    <row r="16" spans="1:11" x14ac:dyDescent="0.35">
      <c r="A16">
        <v>15</v>
      </c>
      <c r="B16" t="s">
        <v>125</v>
      </c>
      <c r="C16" t="s">
        <v>178</v>
      </c>
      <c r="D16" t="s">
        <v>179</v>
      </c>
      <c r="E16">
        <v>1</v>
      </c>
      <c r="F16" t="s">
        <v>13</v>
      </c>
      <c r="G16" t="s">
        <v>180</v>
      </c>
      <c r="H16" t="s">
        <v>181</v>
      </c>
      <c r="I16" t="s">
        <v>321</v>
      </c>
      <c r="J16" t="s">
        <v>303</v>
      </c>
      <c r="K16" t="s">
        <v>330</v>
      </c>
    </row>
    <row r="17" spans="1:11" x14ac:dyDescent="0.35">
      <c r="A17">
        <v>16</v>
      </c>
      <c r="B17" t="s">
        <v>125</v>
      </c>
      <c r="C17" t="s">
        <v>178</v>
      </c>
      <c r="D17" t="s">
        <v>179</v>
      </c>
      <c r="E17">
        <v>2</v>
      </c>
      <c r="F17" t="s">
        <v>57</v>
      </c>
      <c r="G17" t="s">
        <v>182</v>
      </c>
      <c r="H17" t="s">
        <v>183</v>
      </c>
      <c r="I17" t="s">
        <v>331</v>
      </c>
      <c r="J17" t="s">
        <v>303</v>
      </c>
      <c r="K17" t="s">
        <v>332</v>
      </c>
    </row>
    <row r="18" spans="1:11" x14ac:dyDescent="0.35">
      <c r="A18">
        <v>17</v>
      </c>
      <c r="B18" t="s">
        <v>125</v>
      </c>
      <c r="C18" t="s">
        <v>178</v>
      </c>
      <c r="D18" t="s">
        <v>184</v>
      </c>
      <c r="E18">
        <v>1</v>
      </c>
      <c r="F18" t="s">
        <v>185</v>
      </c>
      <c r="G18" t="s">
        <v>186</v>
      </c>
      <c r="H18" t="s">
        <v>187</v>
      </c>
      <c r="I18" t="s">
        <v>333</v>
      </c>
      <c r="J18" t="s">
        <v>303</v>
      </c>
      <c r="K18" t="s">
        <v>334</v>
      </c>
    </row>
    <row r="19" spans="1:11" x14ac:dyDescent="0.35">
      <c r="A19">
        <v>18</v>
      </c>
      <c r="B19" t="s">
        <v>125</v>
      </c>
      <c r="C19" t="s">
        <v>188</v>
      </c>
      <c r="D19" t="s">
        <v>189</v>
      </c>
      <c r="E19">
        <v>1</v>
      </c>
      <c r="F19" t="s">
        <v>8</v>
      </c>
      <c r="G19" t="s">
        <v>190</v>
      </c>
      <c r="H19" t="s">
        <v>191</v>
      </c>
      <c r="I19" t="s">
        <v>335</v>
      </c>
      <c r="J19" t="s">
        <v>303</v>
      </c>
      <c r="K19" t="s">
        <v>336</v>
      </c>
    </row>
    <row r="20" spans="1:11" x14ac:dyDescent="0.35">
      <c r="A20">
        <v>19</v>
      </c>
      <c r="B20" t="s">
        <v>125</v>
      </c>
      <c r="C20" t="s">
        <v>188</v>
      </c>
      <c r="D20" t="s">
        <v>189</v>
      </c>
      <c r="E20">
        <v>2</v>
      </c>
      <c r="F20" t="s">
        <v>55</v>
      </c>
      <c r="G20" t="s">
        <v>192</v>
      </c>
      <c r="H20" t="s">
        <v>193</v>
      </c>
      <c r="I20" t="s">
        <v>337</v>
      </c>
      <c r="J20" t="s">
        <v>303</v>
      </c>
      <c r="K20" t="s">
        <v>338</v>
      </c>
    </row>
    <row r="21" spans="1:11" x14ac:dyDescent="0.35">
      <c r="A21">
        <v>20</v>
      </c>
      <c r="B21" t="s">
        <v>125</v>
      </c>
      <c r="C21" t="s">
        <v>188</v>
      </c>
      <c r="D21" t="s">
        <v>189</v>
      </c>
      <c r="E21">
        <v>3</v>
      </c>
      <c r="F21" t="s">
        <v>194</v>
      </c>
      <c r="G21" t="s">
        <v>195</v>
      </c>
      <c r="H21" t="s">
        <v>196</v>
      </c>
      <c r="I21" t="s">
        <v>339</v>
      </c>
      <c r="J21" t="s">
        <v>340</v>
      </c>
      <c r="K21" t="s">
        <v>341</v>
      </c>
    </row>
    <row r="22" spans="1:11" x14ac:dyDescent="0.35">
      <c r="A22">
        <v>21</v>
      </c>
      <c r="B22" t="s">
        <v>125</v>
      </c>
      <c r="C22" t="s">
        <v>197</v>
      </c>
      <c r="D22" t="s">
        <v>198</v>
      </c>
      <c r="E22">
        <v>1</v>
      </c>
      <c r="F22" t="s">
        <v>9</v>
      </c>
      <c r="G22" t="s">
        <v>199</v>
      </c>
      <c r="H22" t="s">
        <v>200</v>
      </c>
      <c r="I22" t="s">
        <v>342</v>
      </c>
      <c r="J22" t="s">
        <v>303</v>
      </c>
      <c r="K22" t="s">
        <v>343</v>
      </c>
    </row>
    <row r="23" spans="1:11" x14ac:dyDescent="0.35">
      <c r="A23">
        <v>22</v>
      </c>
      <c r="B23" t="s">
        <v>125</v>
      </c>
      <c r="C23" t="s">
        <v>197</v>
      </c>
      <c r="D23" t="s">
        <v>198</v>
      </c>
      <c r="E23">
        <v>2</v>
      </c>
      <c r="F23" t="s">
        <v>59</v>
      </c>
      <c r="G23" t="s">
        <v>201</v>
      </c>
      <c r="H23" t="s">
        <v>202</v>
      </c>
      <c r="I23" t="s">
        <v>344</v>
      </c>
      <c r="J23" t="s">
        <v>303</v>
      </c>
      <c r="K23" t="s">
        <v>345</v>
      </c>
    </row>
    <row r="24" spans="1:11" x14ac:dyDescent="0.35">
      <c r="A24">
        <v>23</v>
      </c>
      <c r="B24" t="s">
        <v>125</v>
      </c>
      <c r="C24" t="s">
        <v>197</v>
      </c>
      <c r="D24" t="s">
        <v>203</v>
      </c>
      <c r="E24">
        <v>1</v>
      </c>
      <c r="F24" t="s">
        <v>204</v>
      </c>
      <c r="G24" t="s">
        <v>205</v>
      </c>
      <c r="H24" t="s">
        <v>206</v>
      </c>
      <c r="I24" t="s">
        <v>346</v>
      </c>
      <c r="J24" t="s">
        <v>324</v>
      </c>
      <c r="K24" t="s">
        <v>347</v>
      </c>
    </row>
    <row r="25" spans="1:11" x14ac:dyDescent="0.35">
      <c r="A25">
        <v>24</v>
      </c>
      <c r="B25" t="s">
        <v>125</v>
      </c>
      <c r="C25" t="s">
        <v>207</v>
      </c>
      <c r="D25" t="s">
        <v>208</v>
      </c>
      <c r="E25">
        <v>1</v>
      </c>
      <c r="F25" t="s">
        <v>7</v>
      </c>
      <c r="G25" t="s">
        <v>209</v>
      </c>
      <c r="H25" t="s">
        <v>210</v>
      </c>
      <c r="I25" t="s">
        <v>348</v>
      </c>
      <c r="J25" t="s">
        <v>303</v>
      </c>
      <c r="K25" t="s">
        <v>349</v>
      </c>
    </row>
    <row r="26" spans="1:11" x14ac:dyDescent="0.35">
      <c r="A26">
        <v>25</v>
      </c>
      <c r="B26" t="s">
        <v>125</v>
      </c>
      <c r="C26" t="s">
        <v>207</v>
      </c>
      <c r="D26" t="s">
        <v>208</v>
      </c>
      <c r="E26">
        <v>2</v>
      </c>
      <c r="F26" t="s">
        <v>91</v>
      </c>
      <c r="G26" t="s">
        <v>211</v>
      </c>
      <c r="H26" t="s">
        <v>212</v>
      </c>
      <c r="I26" t="s">
        <v>350</v>
      </c>
      <c r="J26" t="s">
        <v>303</v>
      </c>
      <c r="K26" t="s">
        <v>351</v>
      </c>
    </row>
    <row r="27" spans="1:11" x14ac:dyDescent="0.35">
      <c r="A27">
        <v>26</v>
      </c>
      <c r="B27" t="s">
        <v>125</v>
      </c>
      <c r="C27" t="s">
        <v>207</v>
      </c>
      <c r="D27" t="s">
        <v>213</v>
      </c>
      <c r="E27">
        <v>1</v>
      </c>
      <c r="F27" t="s">
        <v>214</v>
      </c>
      <c r="G27" t="s">
        <v>215</v>
      </c>
      <c r="H27" t="s">
        <v>216</v>
      </c>
      <c r="I27" t="s">
        <v>352</v>
      </c>
      <c r="J27" t="s">
        <v>303</v>
      </c>
      <c r="K27" t="s">
        <v>353</v>
      </c>
    </row>
    <row r="28" spans="1:11" x14ac:dyDescent="0.35">
      <c r="A28">
        <v>27</v>
      </c>
      <c r="B28" t="s">
        <v>125</v>
      </c>
      <c r="C28" t="s">
        <v>217</v>
      </c>
      <c r="D28" t="s">
        <v>218</v>
      </c>
      <c r="E28">
        <v>1</v>
      </c>
      <c r="F28" t="s">
        <v>219</v>
      </c>
      <c r="G28" t="s">
        <v>220</v>
      </c>
      <c r="H28" t="s">
        <v>221</v>
      </c>
      <c r="I28" t="s">
        <v>354</v>
      </c>
      <c r="J28" t="s">
        <v>303</v>
      </c>
      <c r="K28" t="s">
        <v>355</v>
      </c>
    </row>
    <row r="29" spans="1:11" x14ac:dyDescent="0.35">
      <c r="A29">
        <v>28</v>
      </c>
      <c r="B29" t="s">
        <v>125</v>
      </c>
      <c r="C29" t="s">
        <v>217</v>
      </c>
      <c r="D29" t="s">
        <v>218</v>
      </c>
      <c r="E29">
        <v>2</v>
      </c>
      <c r="F29" t="s">
        <v>222</v>
      </c>
      <c r="G29" t="s">
        <v>223</v>
      </c>
      <c r="H29" t="s">
        <v>224</v>
      </c>
      <c r="I29" t="s">
        <v>356</v>
      </c>
      <c r="J29" t="s">
        <v>303</v>
      </c>
      <c r="K29" t="s">
        <v>357</v>
      </c>
    </row>
    <row r="30" spans="1:11" x14ac:dyDescent="0.35">
      <c r="A30">
        <v>29</v>
      </c>
      <c r="B30" t="s">
        <v>125</v>
      </c>
      <c r="C30" t="s">
        <v>217</v>
      </c>
      <c r="D30" t="s">
        <v>218</v>
      </c>
      <c r="E30">
        <v>3</v>
      </c>
      <c r="F30" t="s">
        <v>225</v>
      </c>
      <c r="G30" t="s">
        <v>226</v>
      </c>
      <c r="H30" t="s">
        <v>227</v>
      </c>
      <c r="I30" t="s">
        <v>358</v>
      </c>
      <c r="J30" t="s">
        <v>324</v>
      </c>
      <c r="K30" t="s">
        <v>359</v>
      </c>
    </row>
    <row r="31" spans="1:11" x14ac:dyDescent="0.35">
      <c r="A31">
        <v>30</v>
      </c>
      <c r="B31" t="s">
        <v>125</v>
      </c>
      <c r="C31" t="s">
        <v>228</v>
      </c>
      <c r="D31" t="s">
        <v>229</v>
      </c>
      <c r="E31">
        <v>1</v>
      </c>
      <c r="F31" t="s">
        <v>230</v>
      </c>
      <c r="G31" t="s">
        <v>231</v>
      </c>
      <c r="H31" t="s">
        <v>232</v>
      </c>
      <c r="I31" t="s">
        <v>360</v>
      </c>
      <c r="J31" t="s">
        <v>324</v>
      </c>
      <c r="K31" t="s">
        <v>361</v>
      </c>
    </row>
    <row r="32" spans="1:11" x14ac:dyDescent="0.35">
      <c r="A32">
        <v>31</v>
      </c>
      <c r="B32" t="s">
        <v>125</v>
      </c>
      <c r="C32" t="s">
        <v>228</v>
      </c>
      <c r="D32" t="s">
        <v>229</v>
      </c>
      <c r="E32">
        <v>2</v>
      </c>
      <c r="F32" t="s">
        <v>233</v>
      </c>
      <c r="G32" t="s">
        <v>234</v>
      </c>
      <c r="H32" t="s">
        <v>169</v>
      </c>
      <c r="I32" t="s">
        <v>362</v>
      </c>
      <c r="J32" t="s">
        <v>303</v>
      </c>
      <c r="K32" t="s">
        <v>363</v>
      </c>
    </row>
    <row r="33" spans="1:11" x14ac:dyDescent="0.35">
      <c r="A33">
        <v>32</v>
      </c>
      <c r="B33" t="s">
        <v>125</v>
      </c>
      <c r="C33" t="s">
        <v>228</v>
      </c>
      <c r="D33" t="s">
        <v>235</v>
      </c>
      <c r="E33">
        <v>1</v>
      </c>
      <c r="F33" t="s">
        <v>236</v>
      </c>
      <c r="G33" t="s">
        <v>237</v>
      </c>
      <c r="H33" t="s">
        <v>238</v>
      </c>
      <c r="I33" t="s">
        <v>364</v>
      </c>
      <c r="J33" t="s">
        <v>303</v>
      </c>
      <c r="K33" t="s">
        <v>365</v>
      </c>
    </row>
    <row r="34" spans="1:11" x14ac:dyDescent="0.35">
      <c r="A34">
        <v>33</v>
      </c>
      <c r="B34" t="s">
        <v>125</v>
      </c>
      <c r="C34" t="s">
        <v>239</v>
      </c>
      <c r="D34" t="s">
        <v>240</v>
      </c>
      <c r="E34">
        <v>1</v>
      </c>
      <c r="F34" t="s">
        <v>241</v>
      </c>
      <c r="G34" t="s">
        <v>242</v>
      </c>
      <c r="H34" t="s">
        <v>243</v>
      </c>
      <c r="I34" t="s">
        <v>366</v>
      </c>
      <c r="J34" t="s">
        <v>303</v>
      </c>
      <c r="K34" t="s">
        <v>367</v>
      </c>
    </row>
    <row r="35" spans="1:11" x14ac:dyDescent="0.35">
      <c r="A35">
        <v>34</v>
      </c>
      <c r="B35" t="s">
        <v>125</v>
      </c>
      <c r="C35" t="s">
        <v>239</v>
      </c>
      <c r="D35" t="s">
        <v>240</v>
      </c>
      <c r="E35">
        <v>2</v>
      </c>
      <c r="F35" t="s">
        <v>244</v>
      </c>
      <c r="G35" t="s">
        <v>245</v>
      </c>
      <c r="H35" t="s">
        <v>246</v>
      </c>
      <c r="I35" t="s">
        <v>368</v>
      </c>
      <c r="J35" t="s">
        <v>303</v>
      </c>
      <c r="K35" t="s">
        <v>369</v>
      </c>
    </row>
    <row r="36" spans="1:11" x14ac:dyDescent="0.35">
      <c r="A36">
        <v>35</v>
      </c>
      <c r="B36" t="s">
        <v>125</v>
      </c>
      <c r="C36" t="s">
        <v>247</v>
      </c>
      <c r="D36" t="s">
        <v>248</v>
      </c>
      <c r="E36">
        <v>1</v>
      </c>
      <c r="F36" t="s">
        <v>17</v>
      </c>
      <c r="G36" t="s">
        <v>80</v>
      </c>
      <c r="H36" t="s">
        <v>249</v>
      </c>
      <c r="I36" t="s">
        <v>370</v>
      </c>
      <c r="J36" t="s">
        <v>340</v>
      </c>
      <c r="K36" t="s">
        <v>371</v>
      </c>
    </row>
    <row r="37" spans="1:11" x14ac:dyDescent="0.35">
      <c r="A37">
        <v>36</v>
      </c>
      <c r="B37" t="s">
        <v>125</v>
      </c>
      <c r="C37" t="s">
        <v>247</v>
      </c>
      <c r="D37" t="s">
        <v>248</v>
      </c>
      <c r="E37">
        <v>2</v>
      </c>
      <c r="F37" t="s">
        <v>250</v>
      </c>
      <c r="G37" t="s">
        <v>251</v>
      </c>
      <c r="H37" t="s">
        <v>252</v>
      </c>
      <c r="I37" t="s">
        <v>372</v>
      </c>
      <c r="J37" t="s">
        <v>303</v>
      </c>
      <c r="K37" t="s">
        <v>373</v>
      </c>
    </row>
    <row r="38" spans="1:11" x14ac:dyDescent="0.35">
      <c r="A38">
        <v>37</v>
      </c>
      <c r="B38" t="s">
        <v>125</v>
      </c>
      <c r="C38" t="s">
        <v>247</v>
      </c>
      <c r="D38" t="s">
        <v>253</v>
      </c>
      <c r="E38">
        <v>1</v>
      </c>
      <c r="F38" t="s">
        <v>254</v>
      </c>
      <c r="G38" t="s">
        <v>255</v>
      </c>
      <c r="H38" t="s">
        <v>256</v>
      </c>
      <c r="I38" t="s">
        <v>374</v>
      </c>
      <c r="J38" t="s">
        <v>303</v>
      </c>
      <c r="K38" t="s">
        <v>375</v>
      </c>
    </row>
    <row r="39" spans="1:11" x14ac:dyDescent="0.35">
      <c r="A39">
        <v>38</v>
      </c>
      <c r="B39" t="s">
        <v>125</v>
      </c>
      <c r="C39" t="s">
        <v>247</v>
      </c>
      <c r="D39" t="s">
        <v>253</v>
      </c>
      <c r="E39">
        <v>2</v>
      </c>
      <c r="F39" t="s">
        <v>257</v>
      </c>
      <c r="G39" t="s">
        <v>258</v>
      </c>
      <c r="H39" t="s">
        <v>259</v>
      </c>
      <c r="I39" t="s">
        <v>376</v>
      </c>
      <c r="J39" t="s">
        <v>324</v>
      </c>
      <c r="K39" t="s">
        <v>377</v>
      </c>
    </row>
    <row r="40" spans="1:11" x14ac:dyDescent="0.35">
      <c r="A40">
        <v>39</v>
      </c>
      <c r="B40" t="s">
        <v>125</v>
      </c>
      <c r="C40" t="s">
        <v>260</v>
      </c>
      <c r="D40" t="s">
        <v>261</v>
      </c>
      <c r="E40">
        <v>1</v>
      </c>
      <c r="F40" t="s">
        <v>262</v>
      </c>
      <c r="G40" t="s">
        <v>263</v>
      </c>
      <c r="H40" t="s">
        <v>264</v>
      </c>
      <c r="I40" t="s">
        <v>378</v>
      </c>
      <c r="J40" t="s">
        <v>324</v>
      </c>
      <c r="K40" t="s">
        <v>379</v>
      </c>
    </row>
    <row r="41" spans="1:11" x14ac:dyDescent="0.35">
      <c r="A41">
        <v>40</v>
      </c>
      <c r="B41" t="s">
        <v>125</v>
      </c>
      <c r="C41" t="s">
        <v>260</v>
      </c>
      <c r="D41" t="s">
        <v>261</v>
      </c>
      <c r="E41">
        <v>2</v>
      </c>
      <c r="F41" t="s">
        <v>265</v>
      </c>
      <c r="G41" t="s">
        <v>266</v>
      </c>
      <c r="H41" t="s">
        <v>267</v>
      </c>
      <c r="I41" t="s">
        <v>380</v>
      </c>
      <c r="J41" t="s">
        <v>340</v>
      </c>
      <c r="K41" t="s">
        <v>381</v>
      </c>
    </row>
    <row r="42" spans="1:11" x14ac:dyDescent="0.35">
      <c r="A42">
        <v>41</v>
      </c>
      <c r="B42" t="s">
        <v>125</v>
      </c>
      <c r="C42" t="s">
        <v>260</v>
      </c>
      <c r="D42" t="s">
        <v>268</v>
      </c>
      <c r="E42">
        <v>1</v>
      </c>
      <c r="F42" t="s">
        <v>269</v>
      </c>
      <c r="G42" t="s">
        <v>270</v>
      </c>
      <c r="H42" t="s">
        <v>271</v>
      </c>
      <c r="I42" t="s">
        <v>382</v>
      </c>
      <c r="J42" t="s">
        <v>324</v>
      </c>
      <c r="K42" t="s">
        <v>383</v>
      </c>
    </row>
    <row r="43" spans="1:11" x14ac:dyDescent="0.35">
      <c r="A43">
        <v>42</v>
      </c>
      <c r="B43" t="s">
        <v>125</v>
      </c>
      <c r="C43" t="s">
        <v>260</v>
      </c>
      <c r="D43" t="s">
        <v>272</v>
      </c>
      <c r="E43">
        <v>1</v>
      </c>
      <c r="F43" t="s">
        <v>273</v>
      </c>
      <c r="G43" t="s">
        <v>274</v>
      </c>
      <c r="H43" t="s">
        <v>275</v>
      </c>
      <c r="I43" t="s">
        <v>312</v>
      </c>
      <c r="J43" t="s">
        <v>303</v>
      </c>
      <c r="K43" t="s">
        <v>384</v>
      </c>
    </row>
    <row r="44" spans="1:11" x14ac:dyDescent="0.35">
      <c r="A44">
        <v>43</v>
      </c>
      <c r="B44" t="s">
        <v>125</v>
      </c>
      <c r="C44" t="s">
        <v>260</v>
      </c>
      <c r="D44" t="s">
        <v>276</v>
      </c>
      <c r="E44">
        <v>1</v>
      </c>
      <c r="F44" t="s">
        <v>277</v>
      </c>
      <c r="G44" t="s">
        <v>278</v>
      </c>
      <c r="H44" t="s">
        <v>279</v>
      </c>
      <c r="I44" t="s">
        <v>309</v>
      </c>
      <c r="J44" t="s">
        <v>303</v>
      </c>
      <c r="K44" t="s">
        <v>385</v>
      </c>
    </row>
    <row r="45" spans="1:11" x14ac:dyDescent="0.35">
      <c r="A45">
        <v>44</v>
      </c>
      <c r="B45" t="s">
        <v>280</v>
      </c>
      <c r="C45" t="s">
        <v>217</v>
      </c>
      <c r="D45" t="s">
        <v>281</v>
      </c>
      <c r="E45">
        <v>1</v>
      </c>
      <c r="F45" t="s">
        <v>16</v>
      </c>
      <c r="G45" t="s">
        <v>282</v>
      </c>
      <c r="H45" t="s">
        <v>283</v>
      </c>
      <c r="I45" t="s">
        <v>321</v>
      </c>
      <c r="J45" t="s">
        <v>303</v>
      </c>
      <c r="K45" t="s">
        <v>386</v>
      </c>
    </row>
    <row r="46" spans="1:11" x14ac:dyDescent="0.35">
      <c r="A46">
        <v>45</v>
      </c>
      <c r="B46" t="s">
        <v>280</v>
      </c>
      <c r="C46" t="s">
        <v>217</v>
      </c>
      <c r="D46" t="s">
        <v>281</v>
      </c>
      <c r="E46">
        <v>2</v>
      </c>
      <c r="F46" t="s">
        <v>54</v>
      </c>
      <c r="G46" t="s">
        <v>168</v>
      </c>
      <c r="H46" t="s">
        <v>284</v>
      </c>
      <c r="I46" t="s">
        <v>387</v>
      </c>
      <c r="J46" t="s">
        <v>324</v>
      </c>
      <c r="K46" t="s">
        <v>388</v>
      </c>
    </row>
    <row r="47" spans="1:11" x14ac:dyDescent="0.35">
      <c r="A47">
        <v>46</v>
      </c>
      <c r="B47" t="s">
        <v>280</v>
      </c>
      <c r="C47" t="s">
        <v>217</v>
      </c>
      <c r="D47" t="s">
        <v>281</v>
      </c>
      <c r="E47">
        <v>3</v>
      </c>
      <c r="F47" t="s">
        <v>285</v>
      </c>
      <c r="G47" t="s">
        <v>182</v>
      </c>
      <c r="H47" t="s">
        <v>286</v>
      </c>
      <c r="I47" t="s">
        <v>389</v>
      </c>
      <c r="J47" t="s">
        <v>324</v>
      </c>
      <c r="K47" t="s">
        <v>390</v>
      </c>
    </row>
    <row r="48" spans="1:11" x14ac:dyDescent="0.35">
      <c r="A48">
        <v>47</v>
      </c>
      <c r="B48" t="s">
        <v>280</v>
      </c>
      <c r="C48" t="s">
        <v>197</v>
      </c>
      <c r="D48" t="s">
        <v>287</v>
      </c>
      <c r="E48">
        <v>1</v>
      </c>
      <c r="F48" t="s">
        <v>9</v>
      </c>
      <c r="G48" t="s">
        <v>288</v>
      </c>
      <c r="H48" t="s">
        <v>289</v>
      </c>
      <c r="I48" t="s">
        <v>391</v>
      </c>
      <c r="J48" t="s">
        <v>303</v>
      </c>
      <c r="K48" t="s">
        <v>392</v>
      </c>
    </row>
    <row r="49" spans="1:11" x14ac:dyDescent="0.35">
      <c r="A49">
        <v>48</v>
      </c>
      <c r="B49" t="s">
        <v>280</v>
      </c>
      <c r="C49" t="s">
        <v>197</v>
      </c>
      <c r="D49" t="s">
        <v>287</v>
      </c>
      <c r="E49">
        <v>2</v>
      </c>
      <c r="F49" t="s">
        <v>290</v>
      </c>
      <c r="G49" t="s">
        <v>291</v>
      </c>
      <c r="H49" t="s">
        <v>286</v>
      </c>
      <c r="I49" t="s">
        <v>393</v>
      </c>
      <c r="J49" t="s">
        <v>303</v>
      </c>
      <c r="K49" t="s">
        <v>394</v>
      </c>
    </row>
    <row r="50" spans="1:11" x14ac:dyDescent="0.35">
      <c r="A50">
        <v>49</v>
      </c>
      <c r="B50" t="s">
        <v>280</v>
      </c>
      <c r="C50" t="s">
        <v>292</v>
      </c>
      <c r="D50" t="s">
        <v>293</v>
      </c>
      <c r="E50">
        <v>1</v>
      </c>
      <c r="F50" t="s">
        <v>294</v>
      </c>
      <c r="G50" t="s">
        <v>295</v>
      </c>
      <c r="H50" t="s">
        <v>296</v>
      </c>
      <c r="I50" t="s">
        <v>395</v>
      </c>
      <c r="J50" t="s">
        <v>324</v>
      </c>
      <c r="K50" t="s">
        <v>396</v>
      </c>
    </row>
    <row r="51" spans="1:11" x14ac:dyDescent="0.35">
      <c r="A51">
        <v>50</v>
      </c>
      <c r="B51" t="s">
        <v>280</v>
      </c>
      <c r="C51" t="s">
        <v>292</v>
      </c>
      <c r="D51" t="s">
        <v>297</v>
      </c>
      <c r="E51">
        <v>1</v>
      </c>
      <c r="F51" t="s">
        <v>298</v>
      </c>
      <c r="G51" t="s">
        <v>299</v>
      </c>
      <c r="H51" t="s">
        <v>300</v>
      </c>
      <c r="I51" t="s">
        <v>397</v>
      </c>
      <c r="J51" t="s">
        <v>303</v>
      </c>
      <c r="K51" t="s">
        <v>398</v>
      </c>
    </row>
    <row r="53" spans="1:11" x14ac:dyDescent="0.35">
      <c r="A53" t="s">
        <v>399</v>
      </c>
    </row>
    <row r="54" spans="1:11" x14ac:dyDescent="0.35">
      <c r="A54" t="s">
        <v>400</v>
      </c>
      <c r="B54">
        <f>COUNTA(J2:J51)</f>
        <v>50</v>
      </c>
    </row>
    <row r="55" spans="1:11" x14ac:dyDescent="0.35">
      <c r="A55" t="s">
        <v>401</v>
      </c>
      <c r="B55">
        <f>COUNTIF(J2:J51,"Correcta")</f>
        <v>37</v>
      </c>
      <c r="C55" s="1">
        <f>COUNTIF(J2:J51,"Correcta")/COUNTA(J2:J51)</f>
        <v>0.74</v>
      </c>
    </row>
    <row r="56" spans="1:11" x14ac:dyDescent="0.35">
      <c r="A56" t="s">
        <v>402</v>
      </c>
      <c r="B56">
        <f>COUNTIF(J2:J51,"Parcial")</f>
        <v>10</v>
      </c>
      <c r="C56" s="1">
        <f>COUNTIF(J2:J51,"Parcial")/COUNTA(J2:J51)</f>
        <v>0.2</v>
      </c>
    </row>
    <row r="57" spans="1:11" x14ac:dyDescent="0.35">
      <c r="A57" t="s">
        <v>403</v>
      </c>
      <c r="B57">
        <f>COUNTIF(J2:J51,"Incorrecta")</f>
        <v>3</v>
      </c>
      <c r="C57" s="1">
        <f>COUNTIF(J2:J51,"Incorrecta")/COUNTA(J2:J51)</f>
        <v>0.06</v>
      </c>
    </row>
    <row r="58" spans="1:11" x14ac:dyDescent="0.35">
      <c r="A58" t="s">
        <v>404</v>
      </c>
      <c r="B58" s="2">
        <f>COUNTIF(J2:J51,"Correcta")/COUNTA(J2:J51)</f>
        <v>0.74</v>
      </c>
    </row>
    <row r="59" spans="1:11" x14ac:dyDescent="0.35">
      <c r="A59" t="s">
        <v>405</v>
      </c>
      <c r="B59" s="2">
        <f>(COUNTIF(J2:J51,"Correcta")+COUNTIF(J2:J51,"Parcial"))/COUNTA(J2:J51)</f>
        <v>0.94</v>
      </c>
    </row>
    <row r="60" spans="1:11" x14ac:dyDescent="0.35">
      <c r="A60" t="s">
        <v>406</v>
      </c>
      <c r="B60" s="2">
        <f>(COUNTIF(J2:J51,"Correcta")+0.5*COUNTIF(J2:J51,"Parcial"))/COUNTA(J2:J51)</f>
        <v>0.84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Evaluación inicial (sin memoria</vt:lpstr>
      <vt:lpstr>Evaluación con memoria conversa</vt:lpstr>
      <vt:lpstr>Evaluación final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Adolfo Blanco</dc:creator>
  <cp:lastModifiedBy>Adolfo Blanco</cp:lastModifiedBy>
  <dcterms:created xsi:type="dcterms:W3CDTF">2026-04-20T16:58:42Z</dcterms:created>
  <dcterms:modified xsi:type="dcterms:W3CDTF">2026-06-08T16:52:08Z</dcterms:modified>
</cp:coreProperties>
</file>